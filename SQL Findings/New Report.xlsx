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 Learning\DA Assignment\Project's\Project 1\Findings\"/>
    </mc:Choice>
  </mc:AlternateContent>
  <xr:revisionPtr revIDLastSave="0" documentId="13_ncr:1_{DD1543F1-FEEF-47D2-B9C4-9B2DE7C459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port" sheetId="1" r:id="rId1"/>
  </sheets>
  <definedNames>
    <definedName name="_xlchart.v5.0" hidden="1">Report!$C$41</definedName>
    <definedName name="_xlchart.v5.1" hidden="1">Report!$C$42:$C$90</definedName>
    <definedName name="_xlchart.v5.2" hidden="1">Report!$D$41</definedName>
    <definedName name="_xlchart.v5.3" hidden="1">Report!$D$42:$D$90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M27" i="1"/>
  <c r="M26" i="1"/>
  <c r="P111" i="1"/>
  <c r="P110" i="1"/>
  <c r="P95" i="1"/>
  <c r="O49" i="1"/>
  <c r="O51" i="1"/>
  <c r="O48" i="1"/>
  <c r="L14" i="1"/>
  <c r="L13" i="1"/>
  <c r="L12" i="1"/>
  <c r="D143" i="1"/>
  <c r="D142" i="1"/>
</calcChain>
</file>

<file path=xl/sharedStrings.xml><?xml version="1.0" encoding="utf-8"?>
<sst xmlns="http://schemas.openxmlformats.org/spreadsheetml/2006/main" count="135" uniqueCount="115">
  <si>
    <t>Year</t>
  </si>
  <si>
    <t>No of Accidents</t>
  </si>
  <si>
    <t>Highest Accident Frequency Monthly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</si>
  <si>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</si>
  <si>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</si>
  <si>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</si>
  <si>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</si>
  <si>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</si>
  <si>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</si>
  <si>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</si>
  <si>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</si>
  <si>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</si>
  <si>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</si>
  <si>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</si>
  <si>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</si>
  <si>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</si>
  <si>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City</t>
  </si>
  <si>
    <t>Los Angeles</t>
  </si>
  <si>
    <t>Day</t>
  </si>
  <si>
    <t>Night</t>
  </si>
  <si>
    <t xml:space="preserve">Avg Severity </t>
  </si>
  <si>
    <t>Weekend</t>
  </si>
  <si>
    <t>Morning vs Evening Rush Hour Severity</t>
  </si>
  <si>
    <t>Ruch Time</t>
  </si>
  <si>
    <t>Evening Rush Hour</t>
  </si>
  <si>
    <t>Morning Rush Hour</t>
  </si>
  <si>
    <t>Weather Condition vs Accident Severity</t>
  </si>
  <si>
    <t>Weather Condition</t>
  </si>
  <si>
    <t>Avg Duration -H</t>
  </si>
  <si>
    <t>WindSpeed</t>
  </si>
  <si>
    <t>Avg Duration - H</t>
  </si>
  <si>
    <t>Calm Conditions</t>
  </si>
  <si>
    <t>Windy Conditions</t>
  </si>
  <si>
    <t>Top states by accidents</t>
  </si>
  <si>
    <t>CA</t>
  </si>
  <si>
    <t>FL</t>
  </si>
  <si>
    <t>TX</t>
  </si>
  <si>
    <t>SC</t>
  </si>
  <si>
    <t>NY</t>
  </si>
  <si>
    <t>NC</t>
  </si>
  <si>
    <t>VA</t>
  </si>
  <si>
    <t>PA</t>
  </si>
  <si>
    <t>MN</t>
  </si>
  <si>
    <t>OR</t>
  </si>
  <si>
    <t>AZ</t>
  </si>
  <si>
    <t>TN</t>
  </si>
  <si>
    <t>IL</t>
  </si>
  <si>
    <t>GA</t>
  </si>
  <si>
    <t>MI</t>
  </si>
  <si>
    <t>LA</t>
  </si>
  <si>
    <t>MD</t>
  </si>
  <si>
    <t>NJ</t>
  </si>
  <si>
    <t>OH</t>
  </si>
  <si>
    <t>WA</t>
  </si>
  <si>
    <t>AL</t>
  </si>
  <si>
    <t>UT</t>
  </si>
  <si>
    <t>CO</t>
  </si>
  <si>
    <t>OK</t>
  </si>
  <si>
    <t>MO</t>
  </si>
  <si>
    <t>CT</t>
  </si>
  <si>
    <t>IN</t>
  </si>
  <si>
    <t>MA</t>
  </si>
  <si>
    <t>WI</t>
  </si>
  <si>
    <t>KY</t>
  </si>
  <si>
    <t>NE</t>
  </si>
  <si>
    <t>MT</t>
  </si>
  <si>
    <t>IA</t>
  </si>
  <si>
    <t>AR</t>
  </si>
  <si>
    <t>KS</t>
  </si>
  <si>
    <t>NV</t>
  </si>
  <si>
    <t>DC</t>
  </si>
  <si>
    <t>RI</t>
  </si>
  <si>
    <t>MS</t>
  </si>
  <si>
    <t>DE</t>
  </si>
  <si>
    <t>WV</t>
  </si>
  <si>
    <t>ID</t>
  </si>
  <si>
    <t>NH</t>
  </si>
  <si>
    <t>NM</t>
  </si>
  <si>
    <t>ND</t>
  </si>
  <si>
    <t>WY</t>
  </si>
  <si>
    <t>ME</t>
  </si>
  <si>
    <t>VT</t>
  </si>
  <si>
    <t>SD</t>
  </si>
  <si>
    <t>States</t>
  </si>
  <si>
    <t>Sacramento</t>
  </si>
  <si>
    <t>San Diego</t>
  </si>
  <si>
    <t>San Jose</t>
  </si>
  <si>
    <t>Riverside</t>
  </si>
  <si>
    <t>Oakland</t>
  </si>
  <si>
    <t>Bakersfield</t>
  </si>
  <si>
    <t>San Bernardino</t>
  </si>
  <si>
    <t>Anaheim</t>
  </si>
  <si>
    <t>Long Beach</t>
  </si>
  <si>
    <t>Cities In CA</t>
  </si>
  <si>
    <t>Top 10 Cities with Highest Accident Frequency In CA</t>
  </si>
  <si>
    <t>WeekDay</t>
  </si>
  <si>
    <t>Day type</t>
  </si>
  <si>
    <t>Day Group</t>
  </si>
  <si>
    <t>Accidents %</t>
  </si>
  <si>
    <t>Hourly accident distribution (24 hr)</t>
  </si>
  <si>
    <t>Time (H)</t>
  </si>
  <si>
    <t>Normal Hour</t>
  </si>
  <si>
    <t>Patches of Fog</t>
  </si>
  <si>
    <t>Scattered Clouds</t>
  </si>
  <si>
    <t>Mist</t>
  </si>
  <si>
    <t>Overcast</t>
  </si>
  <si>
    <t>Clear</t>
  </si>
  <si>
    <t>Windy vs Calm Accident Duration (Avg)</t>
  </si>
  <si>
    <t>Accident durations (Avg) in CA</t>
  </si>
  <si>
    <t>Weekday vs Weekend Accident Duration (Avg)</t>
  </si>
  <si>
    <t>Day vs Night Accident Duration (Avg)</t>
  </si>
  <si>
    <t>Rush vs Non-rush Hour Accident Duration (Avg)</t>
  </si>
  <si>
    <t>Day vs Night Accidents Percentage In LA</t>
  </si>
  <si>
    <t>Annual Accident changed from 2016 to 2022</t>
  </si>
  <si>
    <t>Weekdays vs Weekends Accident In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</si>
</sst>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[$-F400]h:mm:ss\ AM/PM"/>
    <numFmt numFmtId="167" formatCode="[$-10409]h:mm\ AM/PM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rgb="FF737373"/>
      <name val="Georg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theme="1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6" fillId="0" borderId="0" xfId="0" applyFont="1"/>
    <xf numFmtId="0" fontId="13" fillId="33" borderId="10" xfId="0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10" fontId="0" fillId="0" borderId="12" xfId="0" applyNumberFormat="1" applyFont="1" applyBorder="1" applyAlignment="1">
      <alignment horizontal="center" vertical="center"/>
    </xf>
    <xf numFmtId="10" fontId="0" fillId="0" borderId="13" xfId="0" applyNumberFormat="1" applyFont="1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/>
    <xf numFmtId="10" fontId="19" fillId="0" borderId="0" xfId="0" applyNumberFormat="1" applyFont="1"/>
    <xf numFmtId="10" fontId="16" fillId="0" borderId="0" xfId="0" applyNumberFormat="1" applyFont="1"/>
    <xf numFmtId="0" fontId="18" fillId="0" borderId="0" xfId="0" applyFon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2"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7" formatCode="[$-10409]h:mm\ AM/PM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Accidents per Year (2016–202)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Report!$D$5</c:f>
              <c:strCache>
                <c:ptCount val="1"/>
                <c:pt idx="0">
                  <c:v>No of Accidents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cat>
            <c:numRef>
              <c:f>Report!$C$6:$C$12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Report!$D$6:$D$12</c:f>
              <c:numCache>
                <c:formatCode>General</c:formatCode>
                <c:ptCount val="7"/>
                <c:pt idx="0">
                  <c:v>26663</c:v>
                </c:pt>
                <c:pt idx="1">
                  <c:v>46514</c:v>
                </c:pt>
                <c:pt idx="2">
                  <c:v>57578</c:v>
                </c:pt>
                <c:pt idx="3">
                  <c:v>61852</c:v>
                </c:pt>
                <c:pt idx="4">
                  <c:v>76155</c:v>
                </c:pt>
                <c:pt idx="5">
                  <c:v>101740</c:v>
                </c:pt>
                <c:pt idx="6">
                  <c:v>113734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ED-427E-ACD6-4BF65A4816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0294288"/>
        <c:axId val="2082343568"/>
      </c:barChart>
      <c:catAx>
        <c:axId val="198029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82343568"/>
        <c:crosses val="autoZero"/>
        <c:auto val="1"/>
        <c:lblAlgn val="ctr"/>
        <c:lblOffset val="100"/>
        <c:noMultiLvlLbl val="0"/>
      </c:catAx>
      <c:valAx>
        <c:axId val="208234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 of Accidents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80294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Monthly Accident Trends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Report!$D$24</c:f>
              <c:strCache>
                <c:ptCount val="1"/>
                <c:pt idx="0">
                  <c:v>No of Accidents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11"/>
              <c:layout>
                <c:manualLayout>
                  <c:x val="-1.0475762529310997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CAF-4A5D-A0F0-407767C86E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Report!$C$25:$C$36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Report!$D$25:$D$36</c:f>
              <c:numCache>
                <c:formatCode>General</c:formatCode>
                <c:ptCount val="12"/>
                <c:pt idx="0">
                  <c:v>38241</c:v>
                </c:pt>
                <c:pt idx="1">
                  <c:v>39407</c:v>
                </c:pt>
                <c:pt idx="2">
                  <c:v>33660</c:v>
                </c:pt>
                <c:pt idx="3">
                  <c:v>38378</c:v>
                </c:pt>
                <c:pt idx="4">
                  <c:v>36154</c:v>
                </c:pt>
                <c:pt idx="5">
                  <c:v>36660</c:v>
                </c:pt>
                <c:pt idx="6">
                  <c:v>33363</c:v>
                </c:pt>
                <c:pt idx="7">
                  <c:v>38670</c:v>
                </c:pt>
                <c:pt idx="8">
                  <c:v>42255</c:v>
                </c:pt>
                <c:pt idx="9">
                  <c:v>43839</c:v>
                </c:pt>
                <c:pt idx="10">
                  <c:v>49020</c:v>
                </c:pt>
                <c:pt idx="11">
                  <c:v>54589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5-470C-8289-A8DE6BBA5E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6336208"/>
        <c:axId val="1968021760"/>
      </c:barChart>
      <c:catAx>
        <c:axId val="1766336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68021760"/>
        <c:crosses val="autoZero"/>
        <c:auto val="1"/>
        <c:lblAlgn val="ctr"/>
        <c:lblOffset val="100"/>
        <c:noMultiLvlLbl val="0"/>
      </c:catAx>
      <c:valAx>
        <c:axId val="196802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 of Accidents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76633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Morning vs Evening Rush Hour Severity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6080203466777762"/>
          <c:y val="0.21620554278882759"/>
          <c:w val="0.77947654355127693"/>
          <c:h val="0.630651143320780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Report!$C$195</c:f>
              <c:strCache>
                <c:ptCount val="1"/>
                <c:pt idx="0">
                  <c:v>Normal 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Report!$D$194</c:f>
              <c:strCache>
                <c:ptCount val="1"/>
                <c:pt idx="0">
                  <c:v>No of Accidents</c:v>
                </c:pt>
              </c:strCache>
            </c:strRef>
          </c:cat>
          <c:val>
            <c:numRef>
              <c:f>Report!$D$195</c:f>
              <c:numCache>
                <c:formatCode>0.000</c:formatCode>
                <c:ptCount val="1"/>
                <c:pt idx="0">
                  <c:v>2.2475999999999998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4E-4B2B-A288-11EB4CA48701}"/>
            </c:ext>
          </c:extLst>
        </c:ser>
        <c:ser>
          <c:idx val="1"/>
          <c:order val="1"/>
          <c:tx>
            <c:strRef>
              <c:f>Report!$C$196</c:f>
              <c:strCache>
                <c:ptCount val="1"/>
                <c:pt idx="0">
                  <c:v>Morning Rush 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Report!$D$194</c:f>
              <c:strCache>
                <c:ptCount val="1"/>
                <c:pt idx="0">
                  <c:v>No of Accidents</c:v>
                </c:pt>
              </c:strCache>
            </c:strRef>
          </c:cat>
          <c:val>
            <c:numRef>
              <c:f>Report!$D$196</c:f>
              <c:numCache>
                <c:formatCode>0.000</c:formatCode>
                <c:ptCount val="1"/>
                <c:pt idx="0">
                  <c:v>2.2248000000000001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4E-4B2B-A288-11EB4CA48701}"/>
            </c:ext>
          </c:extLst>
        </c:ser>
        <c:ser>
          <c:idx val="2"/>
          <c:order val="2"/>
          <c:tx>
            <c:strRef>
              <c:f>Report!$C$197</c:f>
              <c:strCache>
                <c:ptCount val="1"/>
                <c:pt idx="0">
                  <c:v>Evening Rush 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Report!$D$194</c:f>
              <c:strCache>
                <c:ptCount val="1"/>
                <c:pt idx="0">
                  <c:v>No of Accidents</c:v>
                </c:pt>
              </c:strCache>
            </c:strRef>
          </c:cat>
          <c:val>
            <c:numRef>
              <c:f>Report!$D$197</c:f>
              <c:numCache>
                <c:formatCode>0.000</c:formatCode>
                <c:ptCount val="1"/>
                <c:pt idx="0">
                  <c:v>2.2214999999999998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BF-4552-9903-6514A7E2B0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77830432"/>
        <c:axId val="1971824672"/>
      </c:barChart>
      <c:catAx>
        <c:axId val="19778304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71824672"/>
        <c:crosses val="autoZero"/>
        <c:auto val="1"/>
        <c:lblAlgn val="ctr"/>
        <c:lblOffset val="100"/>
        <c:noMultiLvlLbl val="0"/>
      </c:catAx>
      <c:valAx>
        <c:axId val="1971824672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7783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9069807635804287"/>
          <c:y val="0.88057960091578669"/>
          <c:w val="0.68678039141130454"/>
          <c:h val="0.119420399084213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Severity by Weather Condition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Report!$D$214</c:f>
              <c:strCache>
                <c:ptCount val="1"/>
                <c:pt idx="0">
                  <c:v>Avg Severity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Report!$C$215:$C$219</c:f>
              <c:strCache>
                <c:ptCount val="5"/>
                <c:pt idx="0">
                  <c:v>Patches of Fog</c:v>
                </c:pt>
                <c:pt idx="1">
                  <c:v>Scattered Clouds</c:v>
                </c:pt>
                <c:pt idx="2">
                  <c:v>Mist</c:v>
                </c:pt>
                <c:pt idx="3">
                  <c:v>Overcast</c:v>
                </c:pt>
                <c:pt idx="4">
                  <c:v>Clear</c:v>
                </c:pt>
              </c:strCache>
            </c:strRef>
          </c:cat>
          <c:val>
            <c:numRef>
              <c:f>Report!$D$215:$D$219</c:f>
              <c:numCache>
                <c:formatCode>0.00</c:formatCode>
                <c:ptCount val="5"/>
                <c:pt idx="0">
                  <c:v>2.6667000000000001</c:v>
                </c:pt>
                <c:pt idx="1">
                  <c:v>2.5093000000000001</c:v>
                </c:pt>
                <c:pt idx="2">
                  <c:v>2.5</c:v>
                </c:pt>
                <c:pt idx="3">
                  <c:v>2.4922</c:v>
                </c:pt>
                <c:pt idx="4">
                  <c:v>2.4462000000000002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3E-44DF-A65B-394FD1EB90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axId val="2090038304"/>
        <c:axId val="82164832"/>
      </c:barChart>
      <c:catAx>
        <c:axId val="209003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Weather Condition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2164832"/>
        <c:crosses val="autoZero"/>
        <c:auto val="1"/>
        <c:lblAlgn val="ctr"/>
        <c:lblOffset val="100"/>
        <c:noMultiLvlLbl val="0"/>
      </c:catAx>
      <c:valAx>
        <c:axId val="82164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Severity  Avg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9003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Accident Avg Duration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2409264900363397"/>
          <c:y val="0.24167279235667932"/>
          <c:w val="0.82695569110507594"/>
          <c:h val="0.593258515671897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Report!$C$236</c:f>
              <c:strCache>
                <c:ptCount val="1"/>
                <c:pt idx="0">
                  <c:v>CA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Report!$D$235</c:f>
              <c:strCache>
                <c:ptCount val="1"/>
                <c:pt idx="0">
                  <c:v>Avg Duration -H</c:v>
                </c:pt>
              </c:strCache>
            </c:strRef>
          </c:cat>
          <c:val>
            <c:numRef>
              <c:f>Report!$D$236</c:f>
              <c:numCache>
                <c:formatCode>0.0</c:formatCode>
                <c:ptCount val="1"/>
                <c:pt idx="0">
                  <c:v>1.6731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2D-4EDC-AEB3-EA11F54F6A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3847920"/>
        <c:axId val="76142256"/>
      </c:barChart>
      <c:catAx>
        <c:axId val="838479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76142256"/>
        <c:crosses val="autoZero"/>
        <c:auto val="1"/>
        <c:lblAlgn val="ctr"/>
        <c:lblOffset val="100"/>
        <c:noMultiLvlLbl val="0"/>
      </c:catAx>
      <c:valAx>
        <c:axId val="7614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Avg Duration -H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384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6587070905480331"/>
          <c:y val="0.8753165742156831"/>
          <c:w val="0.42922067572070666"/>
          <c:h val="0.120746135520000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Windy vs Calm Conditions: Avg Duration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0891256796341382"/>
          <c:y val="0.25109283659367088"/>
          <c:w val="0.82249858935643316"/>
          <c:h val="0.59646020974460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Report!$C$254</c:f>
              <c:strCache>
                <c:ptCount val="1"/>
                <c:pt idx="0">
                  <c:v>Calm Conditions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Report!$D$253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Report!$D$254</c:f>
              <c:numCache>
                <c:formatCode>0.0</c:formatCode>
                <c:ptCount val="1"/>
                <c:pt idx="0">
                  <c:v>1.6716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9-488F-BFC7-A40C53A5B490}"/>
            </c:ext>
          </c:extLst>
        </c:ser>
        <c:ser>
          <c:idx val="1"/>
          <c:order val="1"/>
          <c:tx>
            <c:strRef>
              <c:f>Report!$C$255</c:f>
              <c:strCache>
                <c:ptCount val="1"/>
                <c:pt idx="0">
                  <c:v>Windy Conditions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Report!$D$253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Report!$D$255</c:f>
              <c:numCache>
                <c:formatCode>0.0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B9-488F-BFC7-A40C53A5B4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3854640"/>
        <c:axId val="2095013232"/>
      </c:barChart>
      <c:catAx>
        <c:axId val="838546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5013232"/>
        <c:crosses val="autoZero"/>
        <c:auto val="1"/>
        <c:lblAlgn val="ctr"/>
        <c:lblOffset val="100"/>
        <c:noMultiLvlLbl val="0"/>
      </c:catAx>
      <c:valAx>
        <c:axId val="209501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8385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4614750629564999"/>
          <c:y val="0.89629755964837166"/>
          <c:w val="0.48014845717390625"/>
          <c:h val="0.100044813802651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baseline="0"/>
              <a:t>Weekday vs Weekend Duration Avg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Report!$C$273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Report!$D$272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Report!$D$273</c:f>
              <c:numCache>
                <c:formatCode>0.0</c:formatCode>
                <c:ptCount val="1"/>
                <c:pt idx="0">
                  <c:v>1.7364999999999999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F-47C5-A145-63424049180F}"/>
            </c:ext>
          </c:extLst>
        </c:ser>
        <c:ser>
          <c:idx val="1"/>
          <c:order val="1"/>
          <c:tx>
            <c:strRef>
              <c:f>Report!$C$274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Report!$D$272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Report!$D$274</c:f>
              <c:numCache>
                <c:formatCode>0.0</c:formatCode>
                <c:ptCount val="1"/>
                <c:pt idx="0">
                  <c:v>1.4532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4-4810-9C86-0DB6DCD7FD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90041184"/>
        <c:axId val="83741376"/>
      </c:barChart>
      <c:catAx>
        <c:axId val="20900411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3741376"/>
        <c:crosses val="autoZero"/>
        <c:auto val="1"/>
        <c:lblAlgn val="ctr"/>
        <c:lblOffset val="100"/>
        <c:noMultiLvlLbl val="0"/>
      </c:catAx>
      <c:valAx>
        <c:axId val="83741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Avg Duration -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090041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627431574385499"/>
          <c:y val="0.87810492289721198"/>
          <c:w val="0.40756523203033562"/>
          <c:h val="8.9922762945010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Report!$D$101</c:f>
              <c:strCache>
                <c:ptCount val="1"/>
                <c:pt idx="0">
                  <c:v>No of Accidents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Report!$C$102:$C$111</c:f>
              <c:strCache>
                <c:ptCount val="10"/>
                <c:pt idx="0">
                  <c:v>Long Beach</c:v>
                </c:pt>
                <c:pt idx="1">
                  <c:v>Anaheim</c:v>
                </c:pt>
                <c:pt idx="2">
                  <c:v>San Bernardino</c:v>
                </c:pt>
                <c:pt idx="3">
                  <c:v>Bakersfield</c:v>
                </c:pt>
                <c:pt idx="4">
                  <c:v>Oakland</c:v>
                </c:pt>
                <c:pt idx="5">
                  <c:v>Riverside</c:v>
                </c:pt>
                <c:pt idx="6">
                  <c:v>San Jose</c:v>
                </c:pt>
                <c:pt idx="7">
                  <c:v>San Diego</c:v>
                </c:pt>
                <c:pt idx="8">
                  <c:v>Sacramento</c:v>
                </c:pt>
                <c:pt idx="9">
                  <c:v>Los Angeles</c:v>
                </c:pt>
              </c:strCache>
            </c:strRef>
          </c:cat>
          <c:val>
            <c:numRef>
              <c:f>Report!$D$102:$D$111</c:f>
              <c:numCache>
                <c:formatCode>General</c:formatCode>
                <c:ptCount val="10"/>
                <c:pt idx="0">
                  <c:v>1298</c:v>
                </c:pt>
                <c:pt idx="1">
                  <c:v>1322</c:v>
                </c:pt>
                <c:pt idx="2">
                  <c:v>1365</c:v>
                </c:pt>
                <c:pt idx="3">
                  <c:v>1398</c:v>
                </c:pt>
                <c:pt idx="4">
                  <c:v>1458</c:v>
                </c:pt>
                <c:pt idx="5">
                  <c:v>1617</c:v>
                </c:pt>
                <c:pt idx="6">
                  <c:v>2154</c:v>
                </c:pt>
                <c:pt idx="7">
                  <c:v>3405</c:v>
                </c:pt>
                <c:pt idx="8">
                  <c:v>4203</c:v>
                </c:pt>
                <c:pt idx="9">
                  <c:v>9926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D-4353-A3E5-365AFDAD7B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437215776"/>
        <c:axId val="442660688"/>
      </c:barChart>
      <c:catAx>
        <c:axId val="4372157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42660688"/>
        <c:crosses val="autoZero"/>
        <c:auto val="1"/>
        <c:lblAlgn val="ctr"/>
        <c:lblOffset val="100"/>
        <c:noMultiLvlLbl val="0"/>
      </c:catAx>
      <c:valAx>
        <c:axId val="44266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 fo Accident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37215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Weekday vs Weekend Accidents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>
        <c:manualLayout>
          <c:layoutTarget val="inner"/>
          <c:xMode val="edge"/>
          <c:yMode val="edge"/>
          <c:x val="0.13869626683331349"/>
          <c:y val="0.17501633894040439"/>
          <c:w val="0.8124675010763085"/>
          <c:h val="0.5881840201261563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Report!$C$125</c:f>
              <c:strCache>
                <c:ptCount val="1"/>
                <c:pt idx="0">
                  <c:v>WeekDay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Report!$D$124</c:f>
              <c:strCache>
                <c:ptCount val="1"/>
                <c:pt idx="0">
                  <c:v>No of Accidents</c:v>
                </c:pt>
              </c:strCache>
            </c:strRef>
          </c:cat>
          <c:val>
            <c:numRef>
              <c:f>Report!$D$125</c:f>
              <c:numCache>
                <c:formatCode>General</c:formatCode>
                <c:ptCount val="1"/>
                <c:pt idx="0">
                  <c:v>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91-412F-8476-091629D7E9EE}"/>
            </c:ext>
          </c:extLst>
        </c:ser>
        <c:ser>
          <c:idx val="2"/>
          <c:order val="1"/>
          <c:tx>
            <c:strRef>
              <c:f>Report!$C$126</c:f>
              <c:strCache>
                <c:ptCount val="1"/>
                <c:pt idx="0">
                  <c:v>Weekend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Report!$D$124</c:f>
              <c:strCache>
                <c:ptCount val="1"/>
                <c:pt idx="0">
                  <c:v>No of Accidents</c:v>
                </c:pt>
              </c:strCache>
            </c:strRef>
          </c:cat>
          <c:val>
            <c:numRef>
              <c:f>Report!$D$126</c:f>
              <c:numCache>
                <c:formatCode>General</c:formatCode>
                <c:ptCount val="1"/>
                <c:pt idx="0">
                  <c:v>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91-412F-8476-091629D7E9E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0869024"/>
        <c:axId val="561857600"/>
      </c:barChart>
      <c:catAx>
        <c:axId val="600869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1857600"/>
        <c:crosses val="autoZero"/>
        <c:auto val="1"/>
        <c:lblAlgn val="ctr"/>
        <c:lblOffset val="100"/>
        <c:noMultiLvlLbl val="0"/>
      </c:catAx>
      <c:valAx>
        <c:axId val="561857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No. of Accident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0086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393689757371475"/>
          <c:y val="0.89717186781862235"/>
          <c:w val="0.32194546675228392"/>
          <c:h val="6.96018425940478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Day vs Night Accidents</a:t>
            </a:r>
            <a:r>
              <a:rPr lang="en-US"/>
              <a:t>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Report!$D$141</c:f>
              <c:strCache>
                <c:ptCount val="1"/>
                <c:pt idx="0">
                  <c:v>Accidents %</c:v>
                </c:pt>
              </c:strCache>
            </c:strRef>
          </c:tx>
          <c:dPt>
            <c:idx val="0"/>
            <c:bubble3D val="0"/>
            <c:explosion val="7"/>
            <c:spPr>
              <a:gradFill rotWithShape="1">
                <a:gsLst>
                  <a:gs pos="0">
                    <a:schemeClr val="accent4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C4F-4882-97BB-23CC2D2F0CB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4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D8D-4F19-AA89-AED2787BC9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Report!$C$142:$C$143</c:f>
              <c:strCache>
                <c:ptCount val="2"/>
                <c:pt idx="0">
                  <c:v>Night</c:v>
                </c:pt>
                <c:pt idx="1">
                  <c:v>Day</c:v>
                </c:pt>
              </c:strCache>
            </c:strRef>
          </c:cat>
          <c:val>
            <c:numRef>
              <c:f>Report!$D$142:$D$143</c:f>
              <c:numCache>
                <c:formatCode>0.00%</c:formatCode>
                <c:ptCount val="2"/>
                <c:pt idx="0">
                  <c:v>0.35794882127745314</c:v>
                </c:pt>
                <c:pt idx="1">
                  <c:v>0.6420511787225468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4F-4882-97BB-23CC2D2F0CB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Hourly accident distribution (24 hr)</a:t>
            </a:r>
            <a:endParaRPr lang="en-US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Report!$D$157</c:f>
              <c:strCache>
                <c:ptCount val="1"/>
                <c:pt idx="0">
                  <c:v>No of Accidents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Report!$C$158:$C$181</c:f>
              <c:numCache>
                <c:formatCode>[$-10409]h:mm\ am/pm;@</c:formatCode>
                <c:ptCount val="24"/>
                <c:pt idx="0">
                  <c:v>1</c:v>
                </c:pt>
                <c:pt idx="1">
                  <c:v>0.95833333333333304</c:v>
                </c:pt>
                <c:pt idx="2">
                  <c:v>0.91666666666666696</c:v>
                </c:pt>
                <c:pt idx="3">
                  <c:v>0.875</c:v>
                </c:pt>
                <c:pt idx="4">
                  <c:v>0.83333333333333304</c:v>
                </c:pt>
                <c:pt idx="5">
                  <c:v>0.79166666666666696</c:v>
                </c:pt>
                <c:pt idx="6">
                  <c:v>0.75</c:v>
                </c:pt>
                <c:pt idx="7">
                  <c:v>0.70833333333333304</c:v>
                </c:pt>
                <c:pt idx="8">
                  <c:v>0.66666666666666696</c:v>
                </c:pt>
                <c:pt idx="9">
                  <c:v>0.625</c:v>
                </c:pt>
                <c:pt idx="10">
                  <c:v>0.58333333333333304</c:v>
                </c:pt>
                <c:pt idx="11">
                  <c:v>0.54166666666666696</c:v>
                </c:pt>
                <c:pt idx="12">
                  <c:v>0.5</c:v>
                </c:pt>
                <c:pt idx="13">
                  <c:v>0.45833333333333298</c:v>
                </c:pt>
                <c:pt idx="14">
                  <c:v>0.41666666666666702</c:v>
                </c:pt>
                <c:pt idx="15">
                  <c:v>0.375</c:v>
                </c:pt>
                <c:pt idx="16">
                  <c:v>0.33333333333333298</c:v>
                </c:pt>
                <c:pt idx="17">
                  <c:v>0.29166666666666702</c:v>
                </c:pt>
                <c:pt idx="18">
                  <c:v>0.25</c:v>
                </c:pt>
                <c:pt idx="19">
                  <c:v>0.20833333333333301</c:v>
                </c:pt>
                <c:pt idx="20">
                  <c:v>0.16666666666666699</c:v>
                </c:pt>
                <c:pt idx="21">
                  <c:v>0.125</c:v>
                </c:pt>
                <c:pt idx="22">
                  <c:v>8.3333333333333301E-2</c:v>
                </c:pt>
                <c:pt idx="23">
                  <c:v>4.1666666666666664E-2</c:v>
                </c:pt>
              </c:numCache>
            </c:numRef>
          </c:cat>
          <c:val>
            <c:numRef>
              <c:f>Report!$D$158:$D$181</c:f>
              <c:numCache>
                <c:formatCode>General</c:formatCode>
                <c:ptCount val="24"/>
                <c:pt idx="0">
                  <c:v>2518</c:v>
                </c:pt>
                <c:pt idx="1">
                  <c:v>2890</c:v>
                </c:pt>
                <c:pt idx="2">
                  <c:v>3194</c:v>
                </c:pt>
                <c:pt idx="3">
                  <c:v>3582</c:v>
                </c:pt>
                <c:pt idx="4">
                  <c:v>4363</c:v>
                </c:pt>
                <c:pt idx="5">
                  <c:v>5987</c:v>
                </c:pt>
                <c:pt idx="6">
                  <c:v>7513</c:v>
                </c:pt>
                <c:pt idx="7">
                  <c:v>7192</c:v>
                </c:pt>
                <c:pt idx="8">
                  <c:v>7637</c:v>
                </c:pt>
                <c:pt idx="9">
                  <c:v>6840</c:v>
                </c:pt>
                <c:pt idx="10">
                  <c:v>5765</c:v>
                </c:pt>
                <c:pt idx="11">
                  <c:v>5195</c:v>
                </c:pt>
                <c:pt idx="12">
                  <c:v>4965</c:v>
                </c:pt>
                <c:pt idx="13">
                  <c:v>4719</c:v>
                </c:pt>
                <c:pt idx="14">
                  <c:v>4916</c:v>
                </c:pt>
                <c:pt idx="15">
                  <c:v>6009</c:v>
                </c:pt>
                <c:pt idx="16">
                  <c:v>6054</c:v>
                </c:pt>
                <c:pt idx="17">
                  <c:v>5031</c:v>
                </c:pt>
                <c:pt idx="18">
                  <c:v>3658</c:v>
                </c:pt>
                <c:pt idx="19">
                  <c:v>2281</c:v>
                </c:pt>
                <c:pt idx="20">
                  <c:v>1724</c:v>
                </c:pt>
                <c:pt idx="21">
                  <c:v>2119</c:v>
                </c:pt>
                <c:pt idx="22">
                  <c:v>2027</c:v>
                </c:pt>
                <c:pt idx="23">
                  <c:v>2324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4B-4FA2-811E-67B30FFD18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2"/>
        <c:axId val="437210976"/>
        <c:axId val="239664688"/>
      </c:barChart>
      <c:catAx>
        <c:axId val="4372109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[$-10409]h:mm\ am/pm;@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39664688"/>
        <c:crosses val="autoZero"/>
        <c:auto val="1"/>
        <c:lblAlgn val="ctr"/>
        <c:lblOffset val="100"/>
        <c:noMultiLvlLbl val="0"/>
      </c:catAx>
      <c:valAx>
        <c:axId val="23966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No of Accident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37210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Day vs Night Duration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Report!$C$288</c:f>
              <c:strCache>
                <c:ptCount val="1"/>
                <c:pt idx="0">
                  <c:v>Day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Report!$D$287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Report!$D$288</c:f>
              <c:numCache>
                <c:formatCode>0.0</c:formatCode>
                <c:ptCount val="1"/>
                <c:pt idx="0">
                  <c:v>1.7621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6-4047-935D-29907CEECEA8}"/>
            </c:ext>
          </c:extLst>
        </c:ser>
        <c:ser>
          <c:idx val="1"/>
          <c:order val="1"/>
          <c:tx>
            <c:strRef>
              <c:f>Report!$C$289</c:f>
              <c:strCache>
                <c:ptCount val="1"/>
                <c:pt idx="0">
                  <c:v>Night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77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77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77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Report!$D$287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Report!$D$289</c:f>
              <c:numCache>
                <c:formatCode>0.0</c:formatCode>
                <c:ptCount val="1"/>
                <c:pt idx="0">
                  <c:v>1.5134000000000001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96-4047-935D-29907CEECE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00841664"/>
        <c:axId val="623972448"/>
      </c:barChart>
      <c:catAx>
        <c:axId val="6008416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23972448"/>
        <c:crosses val="autoZero"/>
        <c:auto val="1"/>
        <c:lblAlgn val="ctr"/>
        <c:lblOffset val="100"/>
        <c:noMultiLvlLbl val="0"/>
      </c:catAx>
      <c:valAx>
        <c:axId val="6239724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Duration -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00841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Rush vs Non-rush Hour Duration Avg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Report!$C$305</c:f>
              <c:strCache>
                <c:ptCount val="1"/>
                <c:pt idx="0">
                  <c:v>Morning Rush 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Report!$D$304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Report!$D$305</c:f>
              <c:numCache>
                <c:formatCode>0.0</c:formatCode>
                <c:ptCount val="1"/>
                <c:pt idx="0">
                  <c:v>1.8509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BA-4ECA-9131-F2A7D981CE15}"/>
            </c:ext>
          </c:extLst>
        </c:ser>
        <c:ser>
          <c:idx val="1"/>
          <c:order val="1"/>
          <c:tx>
            <c:strRef>
              <c:f>Report!$C$306</c:f>
              <c:strCache>
                <c:ptCount val="1"/>
                <c:pt idx="0">
                  <c:v>Normal 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Report!$D$304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Report!$D$306</c:f>
              <c:numCache>
                <c:formatCode>0.0</c:formatCode>
                <c:ptCount val="1"/>
                <c:pt idx="0">
                  <c:v>1.7527999999999999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BA-4ECA-9131-F2A7D981CE15}"/>
            </c:ext>
          </c:extLst>
        </c:ser>
        <c:ser>
          <c:idx val="2"/>
          <c:order val="2"/>
          <c:tx>
            <c:strRef>
              <c:f>Report!$C$307</c:f>
              <c:strCache>
                <c:ptCount val="1"/>
                <c:pt idx="0">
                  <c:v>Evening Rush Hour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K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Report!$D$304</c:f>
              <c:strCache>
                <c:ptCount val="1"/>
                <c:pt idx="0">
                  <c:v>Avg Duration - H</c:v>
                </c:pt>
              </c:strCache>
            </c:strRef>
          </c:cat>
          <c:val>
            <c:numRef>
              <c:f>Report!$D$307</c:f>
              <c:numCache>
                <c:formatCode>0.0</c:formatCode>
                <c:ptCount val="1"/>
                <c:pt idx="0">
                  <c:v>1.3146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BA-4ECA-9131-F2A7D981CE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37201856"/>
        <c:axId val="341365008"/>
      </c:barChart>
      <c:catAx>
        <c:axId val="4372018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41365008"/>
        <c:crosses val="autoZero"/>
        <c:auto val="1"/>
        <c:lblAlgn val="ctr"/>
        <c:lblOffset val="100"/>
        <c:noMultiLvlLbl val="0"/>
      </c:catAx>
      <c:valAx>
        <c:axId val="34136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Duration - 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372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 sz="1600" b="1"/>
            </a:pPr>
            <a:r>
              <a:rPr lang="en-US" sz="1600" b="1"/>
              <a:t>Top States by Accidents</a:t>
            </a:r>
            <a:endParaRPr lang="en-US" sz="16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regionMap" uniqueId="{3AEA4662-5E89-4895-88F9-357594D8B2EF}">
          <cx:tx>
            <cx:txData>
              <cx:f>_xlchart.v5.2</cx:f>
              <cx:v>No of Accidents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/>
                </a:pPr>
                <a:endParaRPr lang="en-US" sz="85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txPr>
            <cx:visibility seriesName="0" categoryName="0" value="1"/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chemeClr val="bg1"/>
                      </a:solidFill>
                    </a:defRPr>
                  </a:pPr>
                  <a:r>
                    <a:rPr lang="en-US" sz="850" b="1" i="0" u="none" strike="noStrike" baseline="0">
                      <a:solidFill>
                        <a:schemeClr val="bg1"/>
                      </a:solidFill>
                      <a:latin typeface="Calibri" panose="020F0502020204030204"/>
                    </a:rPr>
                    <a:t>108503</a:t>
                  </a:r>
                </a:p>
              </cx:txPr>
            </cx:dataLabel>
          </cx:dataLabels>
          <cx:dataId val="0"/>
          <cx:layoutPr>
            <cx:geography cultureLanguage="en-US" cultureRegion="PK" attribution="Powered by Bing">
              <cx:geoCache provider="{E9337A44-BEBE-4D9F-B70C-5C5E7DAFC167}">
                <cx:binary>1H1rU9y4uvVfSeXza8ayLpZ37TlVY3c3EC4hQMgkX1wdYHy3bPnuX3+WoTsBh002HKre6p6pIt1u
tSUtPbf1PJL/fd3/6zq9Xet3fZbm1b+u+z/fh3Vd/OuPP6rr8DZbV3tZdK1Vpf6p965V9of655/o
+vaPG73uojz4wzIJ++M6XOv6tn//P//GrwW36lhdr+tI5Z+aWz2c31ZNWlfPXHvy0rv1TRbli6iq
dXRdkz/fH319/+42r6N6uByK2z/fP7r+/t0f81/55Y7vUnSqbm7Qltp73LItKbjl3L3k+3epyoPN
ZUPyPUvatk0JNe9efHvv03WG9kfoSHOdDNtPn+rRXX/WNzf6tqowmLu/D1s+6v/98K5Vk9fTjAWY
vD/ff86j+vbm3UW9rm+r9++iSnn3X/DUNIjPF3ej/uPxnP/Pv2cfYB5mnzyAZT5pv7v0CypXfz03
By9HhVjSocJ+EhVb7glHmtwxN9fp9t73qFxFOojyaL399L9H5WfLGSrT8HYQFe9tUbE4E8Ihzr0s
kMeyQoizJ4ht2YSRe9i283+PirdOo3+UfhUuD9vOkJmGuIPIrI63s/PU6nyZvFhyjzucE7ZRUuYM
GWntMWlTZsnNF2byskqVjm7Wz3XoaSX2o+EMk2lwO4jJyfK5KXgZJozvUQgL45TfC4P9WFqEs2cR
QZhps/vrbHvve2k5WUf57fajp5bI04hsms3wmAa2g3gsvOcm4GV4ULnnmMyWhGKiH5p4294zibAc
QeWTQGw9j3fqn3eeSpvs+2sMy9O/MoNpGu8OwnT59xvCRPYYkGCSkCeNjOPsUUotx7Z/Omz3zuC9
2Fze9uvque48LTabZjM8poHtIB6nB89NwMvEhtE9IbkgDuX3eMB0PJIessdtG+JjbpwCa3vvezxO
b7t3B+usqMJIv0KdzZrP8JkGuoP4fHxLfMw9RmD6Hdu8117yMT4w/bhCYfztH/g9lJePYaS2iP33
Vua+1QyNaVg7iMbFWxoZCiNDHWZttddMWqS5Jx1mQrltPGSxnft7ablQTR2+89ZapVH+Cn9s3n6G
0DTUHUTo5HI7S0+t0BfqM1h7Sid5YT/k4aE+IyaCGMaJJSY/4aGknKi8Xr8GlB8NZ2hMw9pBNE7f
kH5h1p5DHYvBoj+Jhs33BK7A/myc5Jm8TObhq9LJFqmn1sfTBv9nyxkq0/B2EBXv43Nz8DIZmVxl
R3Jusg0qs3CSmHyPw5WmAurtoYjAPVZ6ffMKg/Kz5QyOaVw7CMfH8+3MPLUkXwYHXDCHSiEFFfcm
3nls4oll7nEugQpDjPkQj4/6NlD59rOnevK0cGzbzbCYBrWDWJy+pYHHyqdwpzjduFuzqN529ojk
QEuIe4U2V1hK/58M/Oms/Qyhaag7iNDZX8+t0RdKy+RigaSU9/NvzrkwhPuSSokA8qfD/FBmzm7z
vBrSdv0qnvJx6xk60zB3EJ2TxduhM5kWJFzAiT3WYbZAmEIsOAMbQz+zLCdrPaTr/Oa5njyty362
nKExDWsX0Th9bg5eKCsCHKUD2ngrLTND77A94oAzptYsqj+J8vy2UvX6ub78Bzx+Np0DgpHtIiBv
63kh58WlyTbsF+b9YXTigMhHMtIm1iZ+5FsANqRxVFWq0dH20//e5J/8aDlHZTcdsL++PTcHLxMT
yvagmSxLbqOQmdFHNL83Mf2O4PdWH2L00KT8paNRvSZy/NFwhsk0uB2UlL/eMOVFwWthzi3LmoEh
xZ5kCPEtc0MQw9I8AiNdf19nr1Bcf20bzsHYzVzX5RvaEcox55huU268rpnaAiaUUWtKDt97ZTMB
uYTPheKI21cQxA+aznCZBriDQnL6Ybten1LeL1NczNwjFMw8p0+bE5vtCVtylO5sAku2vfdP8v7D
ra5uh+3nT/XpaTs/ESzbtjNkpiHuIDKHb6i+JmQsRkChbPzdmT8sEUcyRPxcbrLHMy12mIIgVlH1
clx+tpyhMg1vB1H58vW5OXihvICOdBwBRbWZ9VkyhZgoF0OZBUMu7F5itve+l5cvg0KpWrD98L8X
lh8NZ5hMg9tBTPb/em4KXoYJDL1g0pKIU37YjocusaR7jDEKOn9je2aR4/6tQjHYK+z9j4YzTKbB
7SAmx2+JibnngG80BfLCWzl4iIlDwMEQCY95IyYzu3KsmqiKXpVMedB0hss0wB3E5eTw7WSFsT1p
M9tBlcs9LDP9hWpWG8QliiY312fs5El0HUbBOn+uR09b+58tZ6hMw9tBVA7f0jt29qb5ZhJx/d0L
GuqhtMA7RmgJULZJsFlQf5jfvE5WfjScYTINbgcx+fKGGozZKJsglNtyU0E8iyLvcyowPFsmhmxl
YmPp1yhoyYP6NdmVLw/azpCZhriDyFxdbmfnKZfnZfYeOsy0uYX/ZmJiwxGAa+YISe+V20xMrm51
hhT9cz15Wnf9aDgDYxrVDoJx8pZiYu0hZodzBbNx94IYPFRdNogvk4NtkZCfhyzLybqq1tdhU93W
9SuClFnzGTDTCHcQmM9vKCUUZZDABYV3m7K8GeNyR0na8MAsMbPxn+t1uMXqKWl9WkbuW81wmAa0
gzhcLJ4b/4u1FaOoTkEN5L1SmtsR09yzqIngRbDtXe8tyMVdqddinbwqi/K49QyXaYA7iMvHo+0M
PbUuX4YLGEkuKWNiIx7zLLCDQN6cdkNscXO2975H52OSrkP1Gpr4Z8sZKtPwdgCV57t4r+Pv8Xn0
zZfuu3Mw/3C/ELg/6ROjzNuc2LEf+eCZ9Mx2xP3nbv0HdfZ4Q92jkezGdrvztwwbYcUtaTl8swHC
mYWNsPKcgNqfUlx3rxnFch5iG+K7w+p1CfrHrWdCMw1zB9HxLrfq5P+uythUYc8JR9Xq0z4YMmEU
BBmxZg6xp5BVua6j66Z+rjdPS8ijxjNQptHtIChf3lJkkDlBGMKp2DBcsB8PHWPw9zZ2qXDuPL3j
7ktUXau8il5BtTxoOsNlGuAO4nK6fG55vszuT8KCDaiTZ3wvLDO/GHYFxOW0d2jDxcxk5vT2u15X
yfq5Hj0tMD9bzlCZhreDqBy+bRiJbY4C5v7ponuHwhsAnUzMzfVZzHKoulcgct9qhsY0rB1E46/z
51bky2QE5Sww9NKk/yHLNRUZUQebirZ85UxG/tLJOq9es8vuZ8sZKtPwdhCVo4s3REVijzaDZkJh
6t2LPLYojtyjEj4xvOYfkeZDxuXolZhs280QmYa2g4icXr0hIuBYuECyd1vrPXOLCRF7gqPY296U
vQCxh4ic3rbr12yq37abITINbQcROXlLGYGra5mY721RxK9eF0rwLOxb2dQZzezIVOQ4/V8U0Raq
p/zzpw38o8YzbKZB7iA2p4vnpuFlVmXKqGDnNvY2buj5GTZIF2Nn91RG+TNn/Eha7nY2vJYPu98X
sW09Q2ca5g6is3hDvxh8sQnBEdbWeszQwUY7hh1GjJINBzCz+YvbdN2tX7OD+2fLGSrT8HYQlS9v
aWFwjhGzkITEzoe714w9xnZhgVgGJXyb2he6lddNFvK2qt/9PLLoIQv2aLLvz+P65QiqL4+bP2ry
5/tpoDuIz+Fb6jQGnwuHTKFS7x6fXzwA0AAI8W2cRfUYmcMb0Mfbj/57G7NpNkNiGtIOInF68twE
vMy6IGbBpnpsfGCbuB6S8JBvIabYIyD0UYL8ixfWvTu57aPrV8Ax1bBu284wmQb3/wOT/3yC249j
7hbrer28Ox/vwSFuz1+983hwXt+s6cadfWr9bi4d3uAMPbBg7AH/P/3II0d4rqEeNLpdV/Wf7w2Y
Hwv8AEU6k8k7LvP9uw7aCZdQ3ydsJKCZYyMghbBBBvPJV8CNnT3G+d1WGYrSAGzdf/+umtJquCSw
TxPnyJg2Cpzvs6DbMZ6pdMCu2B8Tsnn/Lm+yMxXldfXnexBI798V99+bOotO4fYglfCT6AUsKcZb
XK/PUQKCr5P/J1uhlBoCciDlkKed2yrpaRRee2M+lMdRR5d97n8bcslTt5FB+NlsisDDPgV1FIVB
c0qViFxHt3TFbZ/4S41NQGfhEBRHWuTppcqH3HdREXxY+vWl3/q99IamXJu0SHS00Djv7nOljfzK
qkV/VmSdn7qtZegb7ufqSIWBc8yGnq9zs0xHr7cqvqaFwJcs1B9f1UIZt0lv958TqrL+dioQs+MP
UcW601DZS51Vngz6+MiMk0Lui9bPLzvKgjp2A6Nhp02N8y4WVqiMS4PxonbHMG+XhYwD1y514lZZ
VLIF6gj6U6L7dKGTUH5Lk1RaR1XdSkyLsqwD0nfBcVyQxmsSUYauaVG19GXX8RUpTeb6VfKdZWN+
FHRR4XI5sgXXLPlbx1W+5MRnC8MW3Et92l1ZVjycZ4qT4JBVTbSviqw4853RtPd7P2SHZt8aX+sq
jRZN1fefQ7MKF0kUp8wtx7a0r4oqamvPFr3hLEc9hoXbx75ZrnwnSCPPHlltfSwjOpYrA2cTXOpS
snVTsHB0RdoVX1nA5DHOySOXfUenWU4I5iJUDrl0Em5a7mB15BKHTKrKTQuOn69parauVjU5rbB3
pfHsuioqlxZ5mi0lb4nlytDJM8/QZZ6surxRR0SnFvXu/pmSGLj6hdDCLZsc3xvCDG04HRL7uMj7
4qvljFnm8Trzr2Imk8jjjZDHdcuMyE3DYCSLoOfOlVQJbby89p0r0hh14GrZqhZLk5FLi3AMI2va
aL+zVTPu97VDD2lY83XRp2W1z2qpI1f31Xjk5APuP2REHVkBSUYvZiMGZE+TYpWaxUd1MqbhB0MO
6EBHyj5Y2kGM2c1av/iadlnmu4HfJtmCD5rGC9nbKVtIWwnr1G/Tzl9VtW8Gh3XRRqMbqLi+iWNl
eFEy4j3rp58NVanT/TSO69JTRt5WrSsMExeYzPHzvZgGL8c6Ht3RSjCDuuvxyVja9JCJjB32fQhY
xqouvoqgMTxmFBiE31jmmYxacXx3R2E3Sb9qDUEPu5RgbZathfmNu8C/6nRSS48yHtgL1lntuK81
YWtzGCrpsaBXR8LUxdfSImPrlrzXB0EUc/YpiBtnmdAyVIcRjXS19EVDqVdaEX4/oCmGNWRSHod+
Kr6wOh6Mq7teynRsgoN0YFHugd9DZ3khsMoMi5JTR6d54qZJRXO3Eh1wTrK2HC/qLlHJCmc3AFIE
ztOcxINZndaDo44cUamjQSu8d4YoiF3pBJVwDTVG+4kysCCcrIz27S6FhrLjUh+wzCTDKiqL9J9x
5FiRsTCmNUWsVLkBN2S2r5q2U0c2yfrGC4uk93o7qbtF7VjjQTWK7tzsZH/WxkPxlWKlUc9UDZFY
p3lGXGwRLo5r2Xiq4HJwuWWUrVtZlbNssjyg3qAr+1SYtn8UO4NzBTBFuKDwHc7jcKhHN9VV8bVm
TeWv7NjqL1qs4v24k9lqpMTyzDbgn5qorq5jA8e+uimMzlXqpP2FFEbm2ZbGwrZ0pzEYTMCxMJmB
0WWJou6oeF55dadTuuBOXpUepqwdD3qH2wcdDp25LovYpkuSK0mXzO8MKIcqYYdBELNDmk/zO/Sh
f6VtGxqkKVWLG2bdx45wtmRtYAVLo6ada5U+cdxMs+KQ9hHdV6kMQ0/DYnzKSZGfp60Sudsmaaxc
Owmtz44a7ZXR6eGW2Rn94Os6OohbSW5Sbo9XMmh6e2VCBR6XWkS3tOy7y4bz4bDI8mw5xKnvqcj4
rGNDX4UWqxZ5mdTKTR0Z7Q/EiF2rN9Jj0ucdPuvzlSmzYZkH5ngbDUECCejS6kjyzo7dNrYH5maj
T78OSVwd1Z1vl56DrM1hM+rkJEPp34J3nQ5cv68t4UX+aB/zoDzVQme3SKmFbDlK3aZuP5TDh7zu
5WnaGeckM6x+aXJCtZfItiLHaQJt/mlkNDxsTWe/bkW/GlvaLqoyKU66JlduYjT+Wd5qaJPBdvPI
KJpzkud/06AjgVc71Rjst01Ej4skN63PfkHVVRem+iLt2FnI2/J8sJLA7YKKnPuE2Be5XYdu2vS1
/FiifPQgstNiaQah+Xdgdf0R8+XlGFjiS1MN1r7qudL7vMuVA/ko0uKg1f0k+N1BXziZ1xTWWVUF
yhVZEfJlaobmcafG1Bv8sjY/VaFSy96yzWUaa+JWMdW9G7Z1WCzTzszNReiH3Te/wInOHmENj1dm
1jTZwVCmaeMZhKXLlpbKk71ZX1p5Ir9GOMitgimk5scmZo2bmUZx2AqKVd3R+FsP837UpU1zWlvm
t07L8qSoxqF2SdcXwrNzvz6uxBgvWuZYF4NjsKOhj8mnhIj6n5b1+tvgBKpc97WZtp8iof3gqNZj
chikSe4Vpf7bGkb/UxgSf5GIxHeR1u6P25pQL63g0thCf2gqanzUuhbLyqLB4A52dpvWXX9cjlG8
9PlgfYqjuv0qI+EvgiwUZ07h8I990wW2m+RhVromt4tT2/CTE9MvrXwRNqbxiSWKL2zWdEtMl+22
TPQfiirLv0VNzTyuis9+U5gfElNf1TCJyzDGOq1i8yuxgsO4i6tjY+Ds764LaAaZG7RH/IosfSMM
j6qABR+pVM1JY+sD2XS1m9hW7YYmaaA1VdGz4y6sGUYoiWeFjKaLoLCaGsbPOBUMS8WMwuOsk+rA
SskXP2a2G6Qic7WlmJd3dbIQfZouSNFiHVgFW4a9cGApHH9cBKwUbi5gwlcOjojtXcsq6CcZMHEm
HV1fKM0aGPq8VRhPWHvJ2K8Mu25PcLISd4sm+CzMkhzl2ogWhPaFF+QDXzl1ll1EsWpzN4b7sbJy
Ei16K42rZWH2htvUgpfuUIXhWdZrukqoOVyaWrdHQ0XNL4ZGw1YE6gQaqD2IejCzizpzPtHabPeL
vAnx1mLFEc3G8jzkWdp6Q151y0blUeiGnSIfGhY3n6JImAvti0NZx/JYJcHw2axSX7g8a67CJvw7
9jPfw7YtCYeib4PPbeGUrl31NSxuRT+IIusPejOwXOaEciUaARxqHXfCzTLTGT1pN0KvhiTkkISs
Tryi5+WKRQ2sYxo6gVvaWbpfdExeFQ4G3ha9vvBjZa+qvvTjJcxhdyDjKlqUqZO40vdds9fkPPRF
Xrk6DtliHILqSLGBUdcMh+ao10ytOsvq6Qpt+hM760Pp2dA3N3HZiH9kGnbLKBF8PAidOr0ubLs8
cLTjL9PJtSqySrtpO5TuyEimvDSLxTIyymIZ523kyUY2J11BrIU/pLU3tGW7SHCg5lESZ+3pWMmC
foZ9S07qPKVh62VOn53FdUS9KuHqvMn6QJynjkFHjxuOdts6hluQd+x7grr5YOWIPIcAmfAFE0GS
jwGMbNCm/XGeVNVyaBKn9+JK+p8quAEnVloU0LwDDf62szZXi5HG8LGY8zVoiDof/S4u3CwIV2XS
DMe84vy0zMNSu05ZGotG8eYDVWl91JNy2Jd51J8RXleXYZd9KLvyqJBjvygdq/yYVaq6FtCW+21d
6g+k5f6+DuQVHLVuZVd60dqafYrbIU1d3iZJsor7LEg/VOHYkVXkjOPgdkwXMQ6rylXsZpYYzxtq
Ft/7JEsDLB8rbd0iz1KX5g0mhPrjcdJoI7se2r46M5xh/GiEo46WQRHx5rusi8uiGfLEdnXUMN/a
zwwot0O/F/tlSO1zRdIvBU378ChPS9s/prm5rjunOOk5HLlIYi0cJl3kA+d4SJYyiUP7HMepcfNL
lOFfunN1kvtnqqjKFY9SVxupx4vuyxgy5TGqZWCfBVZRnsH6HdYZLGh38CCSfyI0RkblUWCM4w5R
aOkQigJXbIwUiM4fBsaB0zWDFcCvtbVmhx1FJMqj0LocB7u6cTSJ9p+/HwexNrvhRFJznBlnm2za
J/D4hmnYDij6rNRBnmnnuA7huldQzOvEqLNwYanmOkxNxk6DVjb0UGtB/cGriBFmJzGPU2g+CPZS
lDnTHzPdktPMEGPxQSNtcdWGtbNsEwUHkI25D7ctE9WNGeDIRwT0rB4vLGH4eln2iT6ImgZuZhHz
teJtV19UxOHVaqwJ6SovFzhf8NuIeCLxfNkjYAt8TuHrB4hFEmiMy8ymxdcuHaobLJn8Hzm2+QV1
Anj0dVnh+0hzFV/NjPX9cYDYyJh0p4kAixj+p9GommrlxAgc9mWg9MGAL+qPTBVE7OuQiH5ZEam+
3sXCmSgJNgT9eGzCE6BPbMdDNgSU6JQYlVJynF9tsxnoCTxkX1SmOuDDFC/zKEZs0JAU4drzN5p+
6JcbOeDIcfSGpNZ8dUmNCK5McaM0TAFxIbNsWecl8IHssXUVScTWgeoRhIywsl9fendk25EPEThQ
AicT8WntPyB9CmMgtjn06kDHhXUpuk4uojIa4D+m+kD1Bu4qahtBgNFlCNuevzkBbzkbOzYfIdvp
WAQZgF/G3sXc8JWv1UFFCvx62wUNO7GT0rrM4wphMyMCg2/ZoI7qoICPauq8QeCXB3Z6ELCeXN51
aEMoblC/Z8WuVTHoKAg3D+v48fZ/LlWG/+8eI/Hzw+lZHz/fYSfg/UNCnv0WNtdOKYxq/qWpNz9+
C53Z9G6iFB+9+YXf3LJ7Mwbz/pkj/+HiI3rzEZm7Ja4n8s9iz5KbT1Yi/2i34TeF2AN/SFEBhZpm
HLhkYind85vYXoPiWnjdeNoFuEwhIQIbehNltxRH+oFz3BR3brhNgjO0qIUjTB2CoMnBAxd+PG/l
EYrgczfvH3Kb9DG1Od0RRttBnsmykZ4F+fp4lYNa0jnpEn4riV9DNcK5LGBGzIl3ueK8KZI1MzRU
W14O1cDgtPU87D1D+eb3INcsNzxl9Yn9wQn50CwSx8jLg87J0gqeXwYhclXS8+I7T+q4VwtDiDSm
XgC1Qm7tXg3NeRqC+1lD2RT+Nc1oKU4DAXqBuhmJKnSFFVxnH0Ni1l2+CFKuk8JVHc+yY2IPJboc
ZBkZjqyM5vE/RtUqtHleGJGHeyCLSFubsKpQAGw6WQ7TNaN/QWRETShCeet3Ko/LgzpjKTtIWVtp
+2CsgjrqvDEq8PyL1PQjy189f3syGbWfehD3nw59orB5MLWoknNmRm+MqayEKaKbmCQU3FOtQMqH
ruOAG4lXGsyqrhc6rAMWugYzxiI/6xgdKgthIegW+qEWYV4lrlIl1SCKuCxx7flOPvYEcLw0zmXH
kRV4aAuOSZqW5eN11IeRYYWaGjcCrr9pLYLRDuxylUpWU9PNEdCJbyBH/fo3NmKGzXRf5qBwCjuh
LBxWNr8vHCxlK4PKm2DAmhPwS4u0+juEu5Ujbo+jJvqY+3jSEaKxEDy0+I2eRo7hITS4PewfrJPl
MI5Mgz0zEgFvI8PsQ3pj2KldUo93puBrCJJRH4JDs9PTyCCKnNCkHJqLpDLNMXSxuTTFpDwPwK89
QWWMQBoFu+7hkTDzMQChDbIQvJ6+YaKDyK0GIkaSrLjumootI+kz8U03mIIS7CAKaL8pc2g1HJ5I
mUX3G1Qeu2lYDRypBZwhiycrCUBDZ6uhFpEJlzX3r8HK51zvq7LI/GFp+FnlDPuD1D2WyPPjnyVp
pnviCQ+QEggqzDaSP48nIHDGmDtFbXzHWfR2Zhz0dTgJRNarEE9UajpQ1MyLMhAz4Psdi2IieGSG
zUVWiHjwcoPo/MLJwkznixLEjXWetVFefX++m499GmZj2zH8T/iuBFX9kJaZLmk6X2qzHPvvva41
FoHZJCbwMZFK4IaLSLo1LgorKSehqTs1/YmKoPkNPr9MFqrXUJJLTZyUycBPz7shSwsxQSXU9zzl
BnR4DO01IrE1mPXAj6jPoferoEEtaBbzHBpVF5km/EAasdEmbhlC206af0D0hB6OaXvE+qRQ2W/U
CpkvaxyVjjPxrCmPB4TF3AfsaZcXTj7S75UP7ztbxsicpM1ZOdZRkXtdOZTonIHQEtfUUGZqWMhk
HIyLrij8wwqkeBx42Tiaw1EWlsh8uLljCr/2Gm4a6bnInGDMPIs6PVSiZcQDyT+Yo5PiV5PI78ry
N2I6c+ygqQSKbLCP2cT+c1QPzN1KrMy8bPO2+GZzxWPuFSbCndL1/cZxQCqNtgHV7g/32jNtGK41
d+qkIL7Epb6rqShXTUd/L0NsrsVx7jmcEY40jYVTbH9ZFkmfVJkfquJboSFF5ZJWiWQnFgnpcESr
ZsB0OEjPjFdZ2A9gVJtQd2XoQeF34jwoR9840BmLxyttNJU4BUk3OQg9a7PU2U8aPsGjKupgCQ2t
zdvzQsfJeDWmIukS10wREFlehNkHQCp3QnxI4auCws76HthRHg/4U41mUMtFwStarZCgmbBL+iCC
g1He3d6RgTF0rlR9jJ9QcB7Q88jIJ9+gLniWrPtK5GWxclpN2gtG1Vgfa534IFbSTFvIxAU+iCM4
0l3wNZeIBq9asyVYZLYM4Ge0Za7gojyvG+ZaE7NvI6DCzjeGXCZi6scaDKFqHhCnSL+NBBRP4PaW
aSMi7FSs0kPalB0UxfN3nGsja6rJtwjsNkornF/uWGmkRruMdl/pCP6Ye13DJvVnVXYC4y3akotv
fkxHLMIOfGUVnNhQLFinz3fDmo+c4jQ/C1ElAnrTQqw3G/lI26Y0HJFdZSzPaurWquHGrSrDEtoo
TKqcLLVvq+isrWQAjQO6XAXLQNZWq1w8wa8DNVNbQXmU+lJc9FSnSB1VHRHteS0NM/JKPiIbh0Vk
hm5sMh8hFfMFmYQ9NLEOVRvCuzj046SeJL9FWfBHFBbYxeDSRNO+/Q2RMddrEpvmzWl7tnV3kDpi
gsdYJ8IP866s7M9tk5twYrnWFpzYdpzWLYOTxQ5C0O5Ytn3iUPwJQEtPqk4U05KmTdxZ/gW4pOlD
q4zGDJxEYdFJRZZjZRJQiy0S3fsjHxJInd9lk09NBplBOm1SQox+A+LjkBVFEhzFGwhNBAomKB6B
MQslSppno4pz67OsQwrZqgvwGdF+jfTgJLp3cowE5IC++WE/iTh05aRSNFIDydoICdx40vPpI1Um
2KeTOrHNDqIuneahHDolTv2yx7eikE5DHCaGZpUYNgjoAjkjWnkD7AWG+5uhzbxMDA0cF7MIRAXn
rMPfe4xW3SfEThs1fKZBO2mqWpdYWmM6Ruq6NmVi5e5Qq3K8sq18so+ZoQgA6QWYw2E5ZoLUIE6p
0XSf4aVqTAdyZRSrj7YjtAkSUw6WGOvSYtJuDdTmQWQVHdRaDY8EN4yQDcc7xFgEU5EFDFNR13Zo
1B5PmxgiETpWjHf38zOpwmmb03O0z0xGJdwFeFe2xSXCTvMXV5d0IxODKI3LNrMVtMO9e2uFsm8T
D5FlGOS/UwszczTdkmHfo2XCLGH/6TzwMmMFr7Xo7cuqIVgh9YDjJqJ92H7MD4sLpvgSSVbVVyjM
oAMmPEXxClwWKD3MUodqlPrMFuCi45VfMwllAIFszzVqy2ABMgOCX/c5DNUGtqDsckxln8ocsgIp
muAIkn4Cwogjgj/OEDvtuakyhZ7wJIFtSkQ9xanPzzZzKNbUg6gPg5+MAJQEwRMVf42o4A5WRmD2
w2UYDiL13bpJaOH5nenHp8IamR6WZahFIV3Hspw4dLUuo/KDmTa0R14H3o5xpIPMYCd+FtqoLuhU
H1ybUWoedH7DBJICuUpvGGpLNKppRIZHvY4k7T6ylpj9uJBx7vDCK+E/Vs0KhTqyPdVl6PdTvtLM
yDE1NXEWea4d4sV93WjfVb0sx9hFgZBmvRf0SQthaEfdDUjnGjxm8QqEV8MuRFoPLPDMnjRds184
HXKC8N/8oD6sQxueGcpw0m4cEdZiKRaHffK/7H1bd5w41+Yv0ixxEKBboKpcPpQdO3Y7udGKk7RA
AiQB4vTr5yHO+00nPat73vvpi66VclUBQtra+zlsVuFB6FiVHCeeShDwLVm2j3NiwvrFx40UZQTd
TlCsqE/NmidyHHjJ63DWhWSNvIJAaSydofN2I3hH6SmYgyo8SjJkFT1Ybdr4eWWT1ARsOl2Wj8u4
ROMdGcaOPGLHSP03qB2S/nlLJwlq2RoTVMMHvmyNPoka6MZxM3HWmpxDKxBWRdpvg8veglZl3bcq
tGZawHqOq/vO/TjPtNDNPATqahSdY1mJOoA1yUm0RCcXHqRE69OU2HBoqu8V2IYRo7wEUdbHd1tk
JkzpLYDUofoAk+qY0EPXxWBazp6LumpuO7ZoJw9qkuM83c5MyLo+iridPXsUXRi5c6LiSmZHzJUk
0rmdNoptvRmyegaxSOLEjeCXezAPZ7DfpIIoqG6x2xSazzEC7GRrz14N8QkbzpgcMxHgkJG2BBdv
kXXxfFyjbEnumzBN8TK+v0nqusHfALjGONxmhti9bR4EznStkt7KXShGSJoWq2LaQ8/VqQCMC4un
fV+kjNS4HBkxbCpfFrHCn1soVnEm79fZzjZ9UIKouTmmOiKhPYNT4tl0n6iI1Tx3nO+YRNqPrNIv
qRSCbDdx3AwYKbI6hOw7RG1XsRsSiT6F4gGAb9A8KPC/mTjMCoFAHkwND0RfIGTtp7ROpKHhLgFY
a1dSq1Wfld1ICeteQxl2OF6rGs6fvcycK3qU3hjZMPM1dpACIO7+Izh/pCy5c3zP6eNqwNUXtgq6
KDmqat5HLGpGjRczVCN56tp0D/nxNMosLfg8GkyArUO+cRp53+Jz9v1SId7aMHxOpfgPe8kgcLSm
ClBkgs/db08AXVvI/giaZR/nLuYKWBLxpMetINAMVPF351DQuGNf18i0ijkLVig6gL0zSKYw5b3z
L6PqfN1hvMBmmFPlQUwud5lK91Oucaft9pRgZu3cGf7k3gRZ9gmW9GS/82DB8V7D231opinAR7HF
Zm7GOUywUeMaf15P30eRewPgVuE9tliTPGkWCx4V8cwBAOU2Bf9BIWn5MXvENnD8ZKrIfnFiXH8M
hses6YufOS5nG9v/FQ1M30W07snTz6Em7x//zyC/fw5IQajv0tC2OIGgI9X0puvE1v2p7qIVF+3C
DQKDXEK8UNMnFODScPCNP26U2UBNygMqb9/LcxfwVbA80Dundc9bbzBKU9g2+EhogbH1BWAOMfFc
03VPeiW0M3izSSV1b/x9BMH9xbhCsMb7NVVhjRqtsKZL5uBq9dlendP3W/s+PRKhG4xPAn4bLyxt
9otfkrXCPJVBvx+miqsEb67G0bR63kgd+/EaVxrtw/s+kTYPeSry7zDafyUAEYXvod9HhNk1jNV+
6u8DSrZ5wz9ME5k4PRAKYlOdN3giFnuSO4hED3PtDdY0V3JHPoYZ97ee0tC9BYnsMH0GhowVF99D
FpvcD8Cy9x8Mp/0FkilIHIqmo/tyaDe2n3/nE1nNz76RjayPnczwu5WLAhld6WFNg/Emep8rtRr4
mJ5+DjlXU4/TgdxK40ewAxgcXNlaY5+fArcl9BmZm8qm0joydnVBBylwcKYqPPW4HBsLbLMBYADI
Brep8ufUyH05e+yveE+vPlHZUSNZXNbriA8NqKUxNhS6zYbHTTtBAysBGwY8AO2cVyAC8YKkkTWX
1nn8f21n4HaMQi5Gcgcsv7lMehQABeZe4ehBJc30knRiQRUg1m2f+zNHKFfHJXIhIkzWV43PDk2L
LbY9LKQTfDgzjq1q+USTRSHeyMYYra9+wslqbKpeHX0FTtx+XeMBD/O6sqrCcJyiH2vGGagScdvF
rMX2ElWZmcdnF83VnFyN75e+QFOIIYrssmlckZbzwA7JRgNEuRFaCPwtWOw+a4BX7VP8HT/NBj1j
BAIPZSrJx7oO8dJjguPzrgb6SPK62YAr44l8uuM5IIs1ae8iG/T4RLIGew07MT9gXr2DLFvAml4c
fed6EZ6lcBt+Y3uH3gTKcqCGjsUaEKUINErftkXt1BVjA2CC3bQ62dfTGM81QHjo3kaEyigRK/a8
YUWkUUdUtvvgQVG2QwWhzzSweNV0El/HI05wlZ9mpGeCXM9i6Pv6wiO1g5TGI2CB3hNRMn6IAWOt
4rAIRdbqmMyWNVDkGQIOHgQwCtzPsYSU0eXYDDlu/kbiDVeVdO2+bbRM7NOth5ARk+99JNVogERH
Na2j6XreWCvSD3rzM3nqkUwDVdis48lnxFvMLzLbDSOgYrpfg7AdQfBHebmjVE2NfBWZNW/NbD8n
fK1c8BYvTdJcksTZVRzj0Awj+XOuA7WIA3a0qGH50AD/JkXWBGn/AkRy1uNHKp2SsoCiK6qWxzlF
buO+8ameXPhpEBmgiVOv/dTygoTboF+22IexAc+coODIwbMb5JRpyrgPPGZ5q3hYTHiTpFOezmCm
lvLnlbzfS0gzARBDKRSt+2X9CDdNM+3xj69yjybI/vfFWw/t/onuB3ovVLi/xwIKKUyxynX/oIiA
TrQHVO47t1E3kOCZK4lsUVy2cQ2gw8FC3Vclb/e//JyyyCkRiSAV3f/0DsHv4ZTIol+ggU7zIOxp
9uCrVM4mh8APgH0MvRwPz7Pr9lUuybbDgQN4IrzESMvGs9so5ndMwT9cgFvuZ65rMI2ffx6I9Rxb
msNUIU/vFVtXqy3Vueqsjz/o94Cl34FGh+4ZmA2kcTsIOUCRGcdlK1tnRF65xJMnXzOLax5nsHjT
dR3KPY2rIP0jT+nU7Kflfyw4YjT2kVwwvy9yG+40Y9nNyz4nUwE5dp2zCkKHFkK7Bqvx+D4gwIH3
oKfRGx2/G0O4oW6qMGrS7F+Ar98KemA5iA+YwSGCWxL8DVauRnAIwKvDJ2gsE5x1KuWC1TAbhFlH
4n0FNROAlyqfaref+79Ud7/Wdvvh8fgKKFX257bj+L+xAL1fDJmHFFDVe2hUwIBxFqgDsJL++VC/
AehYTTSlFMcCZIX/J3tZ/xcZw5xplwmkkv+ZI1QvxhTOiji+Ry/hfXZzSAnw4muFO2xiaMwYBCs/
guM/n8uvEMLunAEqhF5GWQI6HPM8/PVcxBSFgG+VfMLzORHGajg4EKKHAU+vP2wGqfO/jfPfDwhr
JYCDBDoKgIv8N1xRVz0NmpaKR7dAk/NZauz45xSuiR3W/LGy//kCgx22+z9F+36F+6N2GR7Rk8GR
FP8OZC6NimU3Nsnjz4gxV9sO2q9JtDJ2XOIhm47Kiq3/4OdoVWXruz2eRz1CAxm2GPvRv5zRrzMd
Z4RSam/HHaWcoZvB77TYyimZ0zVyj837opqR12GNL14LxPU6m2rcgir2K1Ymj7A5ILUg1X4iykbO
b8XkUNkfWRsZRvMFoWUtEOodPo71IYJLvUaoJ4v5nc+y72H2ny/i99uIGwezFGVgTNDaMvudZcW+
60ZI0KdLNeg9Mm0/EiE7sM5/WEnmYzzc4P8d6mIgQNDsDI+L/9GJY3+Y36/zNF2QjaC7ub/83PYW
WTmVU4PIavJ+QBPt/+54gPz3DmtYGOgXBeXOb+EgmqEth3RTXd63JSTJ+91IdYN1AZvBvmH88wH3
H/zLNMWEAP20P0sKepQYiOZveOa8bkvdb0xfpR2BCrhIWwjSPiewbv3rEvz7oXDrMtBeeEYMiszf
r60VYbt6mcir91RkYkBHMI9C1+Lln6/qpxTjLxcGrBCH+tFLeyfm8djMX+8cpeBl0roaTv0W0mo4
hGzZ1QgeWitv/hy2Dhx6YQYJbBUGC7GhWsxHJsegvcFuDQmOLIy2QH5uwxjYA31oBZPSQFM/gxO+
iKXWwbIWIgTl9GlwrkUZ1Ksw7tyhbfwWjvCy0GRoy6xngNpuoyUwETTq73yeTlCMRPcCPhe33GlZ
TRySGT8lNeweVEGqcYVCI63bsiHK4lb8TFBSgq9VUA7O+1RAhp5hs0h+hLH3UkPPFKF7rtoQoRul
4Z4GzLAIIqE1YYY6oQs9PoAUK/HpJRqaPZkj7xHQghzFaqc2CzZIegcIRbe8G3re1WVi00b5/D+Q
h8O2CeveeyLzI4MCszZjfDeX7Zt46mA4OKO20EkIh6DBIVuNqmK6pmAralk0S4sGHSfg+Y1qniOk
vTy6JOvI4XRRCSU7GDBMPXDW9b0O4zPk5K6stG8BuwKBScEy5JCxZ0YUxBs50zZ3eOIjCx+44zad
D9JhcbuPbOXTZj6Cb9gZLeSANEwuZhxAInysLdBmWUKEBDnBsepdEKiiDZB0/rmi9Byya5Ysc/g5
YMs6ZhfAZsJ+6DhXOoTGeiAUlTAaWi1jAacquPRDZ1bc23Jewq1fc0qATEwFUrOAwckZr2K+1XwY
hy0HHT3XqKZ51oMXrSsKWx2Fv+Etoa1eq1LESLi7vE2hb33tgLwQSI3fKbefsciBD5fJbdYibqtj
VzUJ/IQ/8ywA33ueuHbjvum8T43mRzbYpY1GydZDNeohG+xpAqtVD+9JitMItQ7zWZOJf0QQN9mT
7Thpjm3NJMsrKecnttZMlWs9i1MdT9FVTaPt3PbLdAUkwzymfRIWcEFVl7QeGwrMeOo/Ckzqq1gy
+NOw+qo31dvmVdLalAsPYJvMmmg8odgFpBR27Caz9LOBkyTvZpvcJnCBwq5RVbi7lPRHlS7xQZna
32+qGekBe/d4yFYaNZixSfu1sv4pDOAn6GMib9ppGA9sAAQN7Yu8moznZcXn7ENqKwde39bf6sGJ
sqmszNe460omuLvOtrA9rqIDC9xZFuOnYfctYtWlxxk/ec5Qj731i/En6B7EN8d1c9JL0Gz5yhU7
VoqaJxsDm88bQDSw5UVGPs/Lln1pSMdQyvv245yF9YGGI72G6rSqc0NIdBsDpjv244DHZKlUfAB4
WEOvNEb8WwCqB/VMYIPHKVRVfbRrRw7B0I6PwxQDcEAoKId1gUp+6FcNV8ScFSLlospe6ynk6xkK
BP91CGMVHIy3I8qcuq3WfIKw+3s2srQtiSD9dcshRyjjYFQflinSqJNac8OGMXBQMFfmC1WDvV3S
mN4MCRxUiJ1s51DlNF8vSGfvaKqnM9Bvcl3rqArLDNHvWzDPMCNuWxZUKJst+TRbN393hCxFWAfb
l2FQJoSiwEI+uG0DZm7V2CaHYqr3pd1mvVwnXjqIWyGCvUCPi0CMkqqY5qiJruG/aux1v7j+GFof
3rCmXXIgvS9sXr9SL8QlDrB8pgFGG0CLtIZBpJ1SmG4M3Hnp2F1sFfefVrsgJ6Ogt+WQew0NhC7S
WjKbEx/FX8BMmzwKmw52rjnKQ9qOH5ag07BnrXCL6HGUz65a3Wu/2DbM3eKXQgTwEeQK5wfGNQPm
hoW3VFsRL9n8wMOhaopum9QX1dotB8nTvuBpTy63sPd84CARzjbss8L3VFzD6gmlc5Ystwp4PwwI
AFxxUDHCp0pgQJRe3iYZMbD5Bpp/6QmSmjJDfqZypgb3kMwJnA6hS5KC11t6NQameoBOB9qOueqf
Q9NZOOCW4KTslHzpI/E8o05+3ly7ZSdn4zVXrpXfYXRkp2pMvT8gDVyfxp4zkfexA2Or5QhfyzSd
E67tySEPDXKZDvyZdyN/g6Mo+qh6Yd6mbdq+e0xwWDFMeBdDWHCi2ClKt7jxCfklyeGVm25JP+jP
GzXdKWoCyPc7wMmXaqUx9rIFEYmqOgMexHRyBZOAKOzQqZNmvn+GtivC+U/hdUC76KiSaPgEXM49
8K7qr4K14U9t2283clDusKQIuSiD2/rSxXS87n08P3SD6D/2WRZ/jfSE4BC6dbrEMDofoJ2c74No
3O076Xyu5yUywG2y7iTgJS5RHkNhCdiDnzfSi1shqv7DFmbVcwbo5JPbsvEjNnx5hcWW3m0BGaFh
SupjwwVDB4EGHjhI/Jsy29YONiFo0Y6bJOZBA4J/gJPYwkRpG3rsZ+U+2dHH8E+ybbvteexvIFTS
QAda81FGG28Rs9vlEKU6uwrA+RWT3eL7bJIRkPmefCMihAbtFna2rebF2i7IdcvUA9LObjWLpnQ8
UHjDmhFmTytuZ2LlA1CW5kLitXtpxv4LviMB9NbBy9Aig1E+VZeFK8gvmQ3qa25s+NkT4ecCTiZ6
B6mPf67DaXKnKmyiuOBVkMIrafrsyGnb8eu2ymwJHjfe8gl8d5nBzp7mahv5lLeR6C6GgO+/WQnM
WHGZ0Hnsbx2fQPQE8FrN5y527X20xORD2vHaFsnSV+ZQcds/KllP7QGU71rdtLU2dUn6jkGEKERA
Tuk0DNvjmnW9r0576kFL7haYpTVGzcxSX2vU5D0Mlikyl4K1Xkx3QEvUUEQ+kB/ndDNrYWiT3EKu
J4JyDpAi3owoxMcXWGHgZEUc6e3IEiROsoOs6Goak/SahQvt1MctWkU4wRXsKPfXIYIdPWcxGIGT
a9auL6tpYP6JE6kVFDiygR+rJwJ+yoLEfHmqI6hmcjgKmw8GRt3tNKPQVAVNXQgrKVdLV4Q9cPw7
2FS3uYRAbisNkK1rFY51gSc26uuRrMug7puVJHyLMPwdXdoSOE2rd5WWDVl7P46xysZyTVTShADY
B4P1kIHeLHywhu0hDnxT3eoK7GzedoB5i21cXJdH7QriJ/VKX3V1zMxBgii80zVg0lIt9XIVSTwl
r0wyWqWAxOByPWvZW9CRnqVrDkft+jEZw/FCGF/SolUihgcm1rAAr8DsXgKLJhgTR2oS9RYuSmNE
EB3kVIU+LJDCVcQU4OYhRZvztEoeVxKbFImZz9a6KRBJR3zAwBKPBjIIQi5LDhVsujnsyMFu1G3T
IK0ONlwMY3cBmRL/DDK3FVdqbwkhp+nztlXyWVb2s+SWwd3t5vZphrYDrS1Ef6LYPCiCRNKD/kq3
m2YNm0sf1f44VT0vrLObzVPINGGBa1n71HdNUsK0tOY+q2PE12lsv45SbMfUwLbm5CLuwDBmtAiW
YXblhs0mfuBDFT2lEBD1ZT0B68F8wITJoYebvwXG6g/WdUN2GNJU3g6mM0/eDaM8+EVO4gzUGMZZ
0i783BrlyrBzzVE7wZ46TYMDHytzowUjd6Fe4pvQgrQ0cgB5zVEWlWEo8Ch1n/rTtoRhk8M51LQl
5ZODTTRIzAX6wXk8234WOR9muhROS1XEyTDZnAetgIYUgkh/HhJc3GEFyP20ib7+JsB7u5MCv1b2
WJRzvq26v2CXx+ZfJ7opa4X8AqcgHrHr1Eef8qTwna1eVC2Dz0DeliNEO/xkKG+PqU3VA1G0L6Y2
qV5p1z43CkowicLtmIZCfTJzCMM7i4z5FFEBG3IYiSUX/aKyogY4ei1siIuWFAh3vUwFit3oXqEs
uZ7moP6q4ef7rIUMXnUQzbcTmNuSWWfOESDjF4Dvod5j2mLzSFF3lwgRIW9FcNwnYfw11nsxvHbt
vmujf8ubmTJSH5qkBhEKMNkk5451tSmGvl5GcE2bAViYzioo4B+kHfpe1IrdNXYI36qqGnUOr2IA
526Twliq8bu7JQ1zolotO7eJD9NyrCDk7JFraXndWjP+YVG1VYW2UUQ/Y+OdYcEk2TxdkVEnJZxu
5Kp2LHzedQPHYJu0z+uV2HvGFvXmp8xie0DleTReQA1lBItuQd31N3aFqCTvJVKa22Xw9k2H41IX
A2DGKa/hG/06jivWChYl6jRvgWJ+m8BaoSuJmqZDp6boGiC1hGSqXjYk85CNfkcH20kc27Qab+IV
9VtOkI6MZSMcYQfiWmh+6TaxFzSBaT6ldloKtMUYyoYSRy9+ToMnsGsZhyoIORxsXPD8n2YkVdeI
fh0s4q6qFFI5jtQTKg5iLlE1B6TwYlfirS1l9tDbCQ4DKFIwiYq4aisV6+kopwRUSqsLpZGk9Ye9
jJ0Ksbo6RE4ddWJ77Qbf6fvQBPNQoqoQeu+bkpjNFn3gZbOeCA1VF9+jJYjIch2gE82XBrJR0hUT
ydCp5gjCTC/0TlcmQWcBVNtLbHO/Ve2AzjLYcNlaVuCvMjQjgpo7XstuWkWrb9ZMhBEtBo8CzD40
E9ChKF8g8+b+2Hvr6lcpdWxkOWOpgEaBGyfqYABenEnGo0Su1p195Un75+CGZWKHCvqnFu15HLi2
J0FDcC8nC6HU2JX9GhOqHpS3GvchJpBLeQUlMziACTJ3XP73lnD0NujtoLq15LZa2CsDy1Q9vYO1
xO6Ew9jwHRoNA7HYG7Rp22lu6AV2HgTrcEu/yVhQOGqhq96w3lww8PqTt3NFqrzLAHQRVLYCdm9s
EQjH4wuc55HLYB1d6XKhitM1LrwcvNOnDewW7ha2PGXUW5T5bkJ/mmaEifcm8ri8La8NVBZDAdFL
1IqnaGS2Tg4JhKp1dE29d6uBDqkekeOgdpDuaNEnCfGYjKbUUCHdhRBzIXW3HBFz5TWSqCw+1WPa
rqsFCjsBSa0LSKo8GlAcZLfEdXOwMxQ3HNgB2orcbkj9MrQdaBIBFmwS3Po8iB2PD+m6RfEJvF/7
YjPfPBOoa8Y8NDCf5bHH2jlAbdJ+o51GlgX1e9Xrg0kGXpVTD53Kkm+hA/m4JX79obK/5mhu8gCw
dLoCDlzfGiqiQoeJv1PBurYHG7UQa00cRLAlzZPiy5yeHVK4FAZpiyYgaBeiu1M/UqgYl8zOaAhA
J/3NblRohNYYPXoS7KO+HKNtfRxqMi9IEAi6VqQjKkShLGMneEDHthRttryRTSyrzQM5u+ARPY40
K+e66772eOZhj/YYE0qDbiMTqpFeBdUB6UQ/XPmK6embJMuOuCCjDrti05U8wqc1CXJsfZBBnBM6
3hWCxui4Ea90uAoGk35qpiYOhiIVoTQFAMWaoUJN1+HSZgn1ZUiZH18hfYBsAhpWqOwKaDrQrabz
QQhdEcCti0Tl3eaxQx5+t4BwW/I50ukh1UlzTeRgIGX3DOYKaOtsC+lGuPqhzDq29zAgY3WCbwE3
Jl0kySNo667QdsepwgMwe9sgWMDcEPyDJ/DI+mqzxySwy8OKm13GXGT8oKCt+E4gXgJ4qKy8JQjD
w2cUl3P1IVVtv2ddUVhfIYNJrvs4ZfUbQmS0nqIpVo8G7a3uIJOU32QfYOSzeVsgVxMeyMi21Utu
azo/ZwvzD+iJU+ESYGMDO5y2BtE0bWFW0Iw/BoAP05IrM58DgBZ1CZ94/cccxfARMj3EV12sFOSJ
PXtyQprjGHb0NekH9AJKoUOs+maDQn+APx+Wo/UCT2VYl6EfJpi6mg4CeV5PfDrLpIc6beg2yEGl
mBecLm92aQSq4cJ26RoewRCBZ0VrdDSjkFM0IfQS+B3qfLQp5IWRHNCZDO0vhrvIW38rw2DKSsqk
TY8QQtiP85KOUB2PHa4SaoD0c9xXGXpmIQG/d2TPeIcMzady5NRrnaPDCYccRbu6KrGhKyivAJc8
bC0QgHxLrE0OeoLAroxoWx82t+A7kkFOB9lIa8spsn/OQ9UdQjEsxTyy9VOKaDHdLGPX27JxU/Y4
sH70OBxjsCFD03MdtaG5ixoR3mRVo1PIhMSKNiKB4DeEVOHb2tT6eiF2eIBWTxXQgIVf4IrxHXiG
lK9FzQbVF+kc12vp5xWtGpo+G8XBV3XWIP72UXOjghANQsZkZi9EVHa5ALnSEcAA065oeNYGn2oO
xUPeQohxMVCY0EM6sxVFAQ/hanCCsvbQBqr6qNESay6wbyKrQ35eVhF6re3jltzP0QwYOgqNuGRN
G706qCxkPvnmUzS05rUfjcnxjEZgj1BUQiglJ0z5pv8kyUwlcquFFASZx13vYe8ZgLt87qQn515h
UaOjnk7vRz+a65G5vetaqm+BC6RXRNDsBYhxjf4rnUzebLiht19Mh8epX8OzHswYFmrK5j1boy2k
M+ihkafDkF0NUdUl5cbRhSlva76cOhZOzSPcsujgB3ALffGGOC5cxPwB6QsarqymgjZwDl4rsS6v
XIxBbgdPYZ1k+tBmjfgTsmJaxiwenzOk+6cgFsGbgQL9leIrLCcLBg6S/1d4brK7BST/yaI9UL5k
/gsEyuOD9XQVeTYaGmAdbA9cEjjF+yBuT9gP+g5lxhCh6xrEKfj27ezC/g8FsAPt2FCoOPRL3PKl
CswLyZr4SVVR3BYxUP2ztV0AKgxKSx1FX1cP9L8/aAs8qH/DBoXGYyU4cLiYXlHRmtY+9vFgYnY/
qsohyg9ZtmuTegf/M0QCy6paB64BhKO5j9E8DfKTOYRXIywjQ5exOlNftWo7Q8i9js+iXmb2lXWx
0VfKZC3694i4pyMps4nFc4/gpaFmAacFfYTiwd5BBsK7YEPamNG1Lnqd9HQ5+3UBipkn4cKOcdzN
2Wd0NhkRVJzVzdIgjrGKshJ5HnQKJVkTKSFoiaGxghwZaTxUVSu80Fg0kLHHDFLQyprv1BE0vyhB
aEKodxjsjNYyYCxrqaEWslLsInLMQQcaRCq5UfdhirIRJUwdLUnfv5hsFpMqQcRmqPtgGaoXdUEn
usGjf8+MLs7BgdrID+7No/9VsOb4FVuvxWxipGT5ZitEhis0WGGKF0Cs9yuJE0l5c6rQICd1f3gi
t5Dltcg0/gYtfJosN2QcUDDfqHVAz7lioTxLp+O/0HO/GkRA/sFAjQfhIscEK51A+PArOddR1BwK
na++UgUXyU/WO0w0A/3UR62E2nPOJnS/2PtZhGme9g2MSHkDHgVt16JuSZ/VD6Lrn8/rV3YZp4Xn
kCWwq+J5PiAPwRX9elo1ekqlTNbpN23s7m1q34UfreYNJiIxoMv+haj8lZPfjwgb997TFN5hUL57
i4G/ajIAGmYjhV/ie/t+xOldVROxrgc1P6RV7CGCm9BnCZaPWoGsfL8V/7+bw780q0UfxASz8n+0
AH9rVrv3/P0EcPOXFhDvX/pPs9rgf2UMiGiaxXhqM2AbTKf3Zg4kxWOfEopWtpDJ7fKiBFqcn90c
YoYn2qGBLVhBtJeF/iX8n2a1MTrjg7HeHUZQISIBYf9NQ4dfJzNDBoRgk7L9cWGMQ2T0m3QhmBI3
USrNGQgCVIq6k+w+6md7gZ0iK/8yNA/vtPpfm0fs6/UvZPuPY0Fasj+SgcOi8vvCmQaKmisLunOK
zfqyTWtwUT7iLytG4Na5jR/++Xj7QvztePAAwXWHtRP+3eHdEzSxsBnF8VqgFpDIwVSeq2ULLuMS
R2eYe5PogDQ5gC2kDj/+88F/XbM/BpZRyBc4VAXpbvn/dc06QofFQMZ63vpx/NY2LdDuBvnh7Rps
y+MiNv4iQvpvl/x/GWKG0YJyC60fIK/HtPlrpBiHUfVzlrbnvg2WB91U4zcESLRA5XW/PEi6/tcH
TAJMUhwOsxfNnX63J6uduw5B/l9V6D9zk2Y2K9e9L1KbReQz1OjJp38e1uBv45riUZBJhtQbohse
Zr/FwnUI6CbFziSbxencJ2II77f/zd6ZLceNXO32idCBGcjbAlATyeIgihL7BkENxDyPiac/C1Qf
/2KJJsO+tiPssLpFogpIZO7h+9ZeGnUkgMcNCgk50YgBS3MVbml3zWiVDyVWl8mL7Wwp11aTc9dL
XR+ol1oDLbI67oBVivmr1N0PVgFqzPNF6Fi4o3n3TZ4mL/vZ5y0LvMVp0Q97y6F6fa8UuhVedFEO
Pxj2oeujCNGmI102CTSs6y3tnndQ3ikEp3skKbYNeRmnaUEl7imiaWtvYnsFV+Bvx6BKq/SELKCI
j8hWgAOXL4wqnYollVMLjO+gd1BElTahYy/1xd3W1qydiGCVNhgctboAuTLfaT2g6DARtNmXdqys
by7ZhMRvscwjILFGTy9aw5pvbHYJ20cElol9qo7KlxTkHWq5tYpwaMMUTyfRrVRgVOpoZbSfrNI5
iTZakqTzVW+K0bydSzldlmoMCsq2SHJGYZr65mUjaGXBezqP3XyjTP18I7KGvuYcNvXjkOr149Kq
xsFGw9548zjWj25hjDdq14EREM3C9jVToAlSrbWe6FjNd1WbA396QQjDJZ7vlEbR7q1+gMy0JNYT
bnu9PJRSzI82gfrgAS1DfdCF1nw3mC3ftM5MfAJ5xwWRt4QPOmW61h/cyXoC6skyW0bu20pDHgQP
bXEb8TAhhHyyFXu+SyIotLQBLWMrqwTyLzxAIEwdzoS7X2s1TiNYuLGRTMNVks3dDwitK5DY4svq
Ej/urpuwz5NxEBUehRMmxQFldFP0hKHCHYIepcSXmPrng1uzn/o9Jqg5KKTJOhlL23yqOrd+jCPS
/KgpxKWQrXioIQACqHvhyyJqBWS8oodbYn/8NnU13wyDrCd/tFdwMW93/TjPKbaDqMpgXI9QHsD8
xppBcS+lqY/+gu86kU5tXvBiL/ffnHuLlpcLehKYING9EndeA0vh9PJ3qAqUXiHVlH1jifcK3/U2
dvrRnyIhtjQcWMDwmun1YGOq9zT+w/CCaoBae2M3IYJqZlfcGaqjtbi/iZnIanNXTU89fdXa2rgF
tolPtV2qKzi2msNxSwVfbkJD4QfKPNHUw6T1zjhjk1HK+NjRnlR2UsUn7TfAAMI7chbw7DGtnHpT
xliSL3X00o84DqYfI53F0YPyuSQ3k1T06UvH7Y93XVmOu07Hqr1Z1KzaKOi3aBihXsY7anGfu/va
CGNcI5I8phQSk2/uYVufgeE15pbqn3GyEEJ54zjtQyFnaF3VfG/j9gGNHFIkwEV2Mulle4R92tdO
1Ru/xvC56eWsXSt23N9NcdNFmz4crb97zAkm66ubYCiJZL4YkYbtTbeKig0FyooOTLWc3HaIfpBg
aCebTPYIUNM+1WopoLQtprzUyqnggc8K5aeF9uiurJf+h0hIzXyaZVHis7jF0QzxxvoU4lHKaY4T
PoCJpbCrKeZnyCqguNvmqdTo/KY5CsN9g1dj5C+uRHQqrSwpmVndj1jjDxv25fmOY461rIdlnOwB
6XFKLy184a6vHy2tFw+FjCkRO5FbWDimxvluWVnJM5X3U21q9aPs1nwF//XTXLnRQ2rZbJiVnt2n
VJq/pC12bKT8cPawSie7BPHjwa0FbR4hQgrS0FXvbSoPcGRLH2W5GW01o3Cto0WCIb4sXa39XbSK
shzgJw7uwaAiYEyeVnfz1qCUmB2Zr2N8W6LRsgMq8Mf/6463gFUPWJHunThu/psOOQZYB7qgmzm0
8KaDZQzK6BvUOV+1yku9BHSrz8MWHwAIjtc9c1PqDZ283LT+6ZmXjmJ+Q1jA3685sdrPGCX18Jtw
p6TFa1iH1XZxK7iRepQNJqWzTLks8mTg1hVhvVnQRX6VjlvtE7N0r53YUP2Ut2qHGqnNPElZ6hG/
L7FI3VvupTElipdpI48Vn2UbJDnljoDOdNSeWreTB2mk7glponho6TSSUOcrXTFPQUaGOGuBiS4s
mmZgpXSR6gKsV9alNERl7EdxpZ1Al7CXNjYOk026sr9Hmtg7u4/FZTfxaLwcXsBKsE/5TI6LFy2p
Tf5BDNuZnsMKp7TzGnFlpGfs9/QV9zIe2QdHK+q6HUIp9xKNBTAcxIX5JuUwKTymvzByweDytjU1
+c6RK/2v5cIvDMJFpmz4L1ugEw80fPBzrEt/UvP4BmAZxUCaEeB/h0Hd4baDA9/2SvejNOiWbzSj
5eTXl8Z6cnLOx448cPILWJ6tjx81j/0chRYRgyRF2f36WBo8pRyAaEokESoKx5eDJO2iydt2P8ph
vulHYt+C4megLXkpj/qkryTaQUKTvMJUx1QBtRXV46Q3dXytWyOfOilqvus0wuz3yzaRzp1Jpbnj
tACXWxVYRqMmoyLiqiMW0Gg27eOQIaLxaAnKT6FSWY92rLGxylZJL6e6nVGSvqmSMBdgZuyLtODy
SlGP9RArz+AUBNqUScwbPjNRTkKu9aDPE8vCzVtO8kb02j3VQY6nqJ2ZkdAiA1j4JMl6R6lUobmz
JMf6ULsWB2bLVvUpXJ9omiLiWoaCFZejWzhhNSVr6PVFRethdfXaZ3WtUH3QFEmpjftEaPmJsosy
fIIontu1l0xxFLt3eYYPlqOqRidBMTxqZAI3OFEiDVUA0XK0g81jIdYj3IBaaQUJ6iQAoHmR+Bhm
aGDaaBToehGDOHoMbJry8Ykuyujhm4WOhYrMn0FRHPN0qa94/M1d5bKzZGOsfGVYRXJkZEOIoC3m
6AHksY90W0M74ijbfJgAiLuN7ZcqxX7VETRGu9BDZX0buWzpRhsNW02NNIqRGhXheW4OFbZUuCK5
dlciHK02hCHthq5CgimViKS3i+wZ+6e1ZUhEuBdLVVApb+BI8wZOHrvCc9k2z0our8VsTgfWNYEB
iodr0dfqtVXI0R9VWKadLPbzYCGRpo37aabBtE05RP20gXM840NBfmVezfpQ3vK0OZfLOT9y8hU7
s8gUGiFG77mFHUQivxoyJCAGt+palXX0uVbs4bGtdONUjUVaeUakEkDOzQ6kPx7AkTK3dkfkRxWd
wvCzZYfW0aC5kSRU7UVK67yk2B26eyVdflqNzQMxqY/BTbPQx2HPUJlqQEQw1p7CCdxt5DCuO0is
skNwXrEb9ml1MTS6ckB609RXXZazSIt1KEtit6zIZQx59uGcx92NzEDSeSNht/9+GrVmHa9SY5dC
hIM/wtHxN+ObfZ0nLohDBSdeva+tl6B/pHi6adfA9/3r/JH9QH1dEWaaRdqPsP+shIeutB/Sqq/3
eYnmYDM4jnbfMJuGGiNK9wt7bYQfX7bD96/7R+rPdVEuWpgxqKWSKb7+fqTkuZFWc72f09x+6hVY
H0U3w/Od4N61QVWU8s62Y/biX+M53r/6aw8VuT//EXAfsRHZfIjzwqXsUqonyFn2gBRIQBB16fcw
7KqL1OnY7f8BsNYt8yzWyBvCEZv7y0f4X8Xug4odAx94Gv++YOc9gdVE8JBgufk1Ae9lZNPLT/1T
sdM08y9qKDh6VhbhOkXqXxU7Evm/THWtypnqCwSL4uD/r9jpVOxwg4DhhbWqv1S38H+8jJcC2mrw
Cxn85hKzUgL7Typ2Z0S4F7eRxlvLGjZUIEPmWtL7zaHXg/Oo17DnVE4GPMaJntqmMoAneJkzjbe2
YsljOo9lFqhq1j/2lTl+ZheccYKKsvny2917o6Z3Xo+hasi9YB4HVXGVWv1aLv3905ilrDMRD+NJ
b0rtFFFhIW1wKqRB89jDMhgnc3h0Rs7NTVu47G/YI3kHQC04Jn04p/wh+l695nfEtMjzXPuMpczV
dtK2wp8apIf5Vy0bFPDbCFv9bO97+cSwcnhD8bSqrn6295kJIiesyP0JlkkU+TZEls8jdTxj2zuy
soAazlrqJw5qmsWxabLKTDV2BR09DsOx6n/Ec9dpnME1Ex/6hHlIsMSJGJ3WyoAcVGl8kw3iCLqS
oQVsUuKhi5sL6C0EGhBq7aukJYzcvf8czjZavhRdCY5pSsmsDcBLrx+DQ80F4W3enV6GNVWRy75j
ZjpLg+EJ8800t+JTHWr51/cve1Y+Jr9mx8ZuKWjSrP+zfqzf1iKyucisu6g8lS5lVdgUwwkrELSP
MH54/0pnO/rLlaifUcqlZSWoqL6+Ul3ibW5Q6Z4wfphPwImIasPelfomq+NAbcAmeMyUcCsPSf9U
fLRo1kXx24HJ5Vko+gqSN23ox+eXxxrHZLZV++1QVwNyOQAYz9fPADClC5ASVBup8uh3U95MyPqz
yvmJFgnWjZDm5WyjJmLsTYpOOMWr8xn9qW74sSvlz5pgwacyXkAoQczf7hlVtwy/joN/u+i1Px8U
Nki2DQx8QLnoJb2+fao9WKVlhcoVI0aKp4QWPFU5JetLc2NIOILHKU6yb+SkuDaWBowA7cHEQ9Dg
PPfOslSMEIscmrnp+DPBfP5jtOrYOb7/iHGXnt9l+F0sIhthFtglApTXn9Ju3USFJGFcpeQToXD9
XsTrYLHZENt+HAas7416OxbSGuDzxg4SuJJ6S1vvcrOG6Zg3xV0NR3reOPkUfZnSojpQMOg3tdXU
n1Hcu36IN94bqjRNgKQZ1B9DJsadplrpkGTQvY8iTVAwXTDdefoYF3uU2fmdnkY3EUr7mWE+TnPq
w+a+1wvFIGTU1/Km1NkbzGFZNurkppd5bLmPoYoONLZd7XKhkSq8SY3ph7PokoPiUurcTNJdfG2y
FH9J5+91h6thwJiPBqXonW3YMc8BLrF+38QQt3eho2hMI4szUnJQWoghy0b5eyhw5DCGDLEB1oyD
1oj8RzLWNu+9UWSfKOnODN+gC31sw3bwJPcBXYAurlEezwHd72arabM2BsxdYcQR3Hi38UY9DoOi
Myh11uI6DrGc+AAU+j1HjT554FPIs3on/zoXanyht6L+ZKFt2w0iVfQt/qrlybWrNujUOV22Y+ZG
W4X2/BMi3ekZM2XNJEQsTcOmjPQx2s6ExLwc0xTIaBzcbVuFayZrFHvq9vigbLOtuNF4cTZpl6YK
CquJbm9lzYx26xlGZfRKWSD9yoJoNSbfToZm+knX4rtLWUn91ugn0e1m6kmX9ACWPMRO3TCxZoOu
G9n8jziMdX157CZlXmVIomUrr77rskh7o0UVyfAG9dRnPe5EZG7NssOI2Yc42tYBbKmeV59Uso5D
Kg0iyoFnECLtVklPEVm68J3CkPOwz7OpCSCXRqrX5r0WXscN7b9qn0mH3EHOuegv7a43WFFTWGnk
TANn4dZW4jS8Hnl17Mhr6LCw4IysK7aUMVuxoX2PeCuY0Tl7SiiYK7GRITQIbKshxYpYwBDeTrlD
d6ALiQq2VhkVzLFZqGN5pZ7hDyriNSIfOxl11BQUKAtVlLjPyjA6ieqrld5j42NOzIkhA1F4LA2n
d6zUK+euWeS+U9ndkL1HsQMooxupEYu2K0l2GUkk99Tni9qzdKREnjNbMt+1YLIUj8eqf1HqgvQd
YSkjCvivqlxTplWoPvRl+YWasygORstMmyCLe/tuGXoDmw6iPO0inuLOodsQ63G/C9uxLj9xGBtH
NBJ6th1qPkFQ9Xm0BK42L0gbGB83XRUuTrxA4VVp8Xhqw5G2hsV0pdCIBt/BU11vkpcYvYSivvxE
riJslNg9KnWAgXFz0NTE3NP8pwCLDbIx/KRKQn8ZQmYjIeWpBUSxKTU9AwzEgqQpXZQLcj9zq9Uh
XiQnFk4daGCQq0OcaFMUUKCNAZTy9zaaQAjF8omwx8+Ux5YNymfl7xblj4Rdw3ukn7QFejIj+UZT
Me5lPunDya6FrPwShcyVNZQcSREqCH5AIMc1tuDdtPIRTTVF7gbk1bztJmtJLrQ+6u9NhBVP1sxI
JFyjLF5QNzhmA4Z2USBB6rgWQQzQmh4ikyABb/aYTxORRRql4ycEINO3uo0NNNZMN6RPZJFElm7I
77HyCsDdSzcKFbth3r50trQerTJlDRh6Xg8WbA6AKaXJvsUMgCnHQf14/VLK+TWZtExTxkg6eUcm
PEuTBoraTMSO8VTywSrcW9oFJ5h4QKbD6i7YJVvf1cRcHfpOhPpN2uLPu9PdUjC80UxpsvRzvwaf
sZxvrIweTVBNBZeuqoW60KwX/YLFzFm//NpIm9if+FxI1Ci5l3yLoYGFQ4GQRognspFXp86jLLkt
ob9hvxiICn41STS9L+PrRjMlqimjjlUe99TOw1VBB6jbJOrQYDhQ4cUHDFyiYMWfscfwjdhAkFuv
cXJfFrSIDXGEuZC4GwBqGesCH8vTVKImRhWdyjujn9XugvonLbqqhgTwyeW0oBGhaqdGRM0jPF+7
WSFdiX6kDC6GC4DNqN9k6zR0KUA97Gqd27qagOT3LM+sm3lYp7U08N6zL5NdRN0e40XxDCBq3UOS
hqIfeQAjCxN8rRTngGJ/UdSw2BZTHSFENdnmZDvFdwn+6QvU7Skj/PRWh1yTWybHUaxT1AUMHgW5
Xq7jNpXQEAezrLTmZ8GGLI+uxpIK8MyxRlIL2cAW8fYYcMgwxElrBwYBhiLvR05aY1QJvZv071Zg
SFYkYfpxEX2r/cAgKzvGQmjOiP9O51fNhbbaKif4AoeaxzJ5CtIvQIzj2F/N0kGWPHbNxnU65lYi
j9ov02qXxtnSLbs6z6rqqrSZzqb0SH+DuCmL8SKCJBh7rtUV8T2RCDVqWoV4pp2kGzdZ3E0ITqfR
bTgFZPMpjxot+apVlDUZJUoEJj/XPa4sfhlWwiCG4xgdlbCevsWRqozQ2zo7OyTwGW7nTgmZGEpz
LAmSZWCRJnqfGjczs0qtU2HXq+WnHlX7ytRivMwU0KcumHAoYe5nFNbqTXAoybldlwfabMzMuMqx
9u1oW7L6M3NmLKkMkTMzOxaDzRdEmNp9GresNU66tW8YFd1NKUrmBAx6LeBXMVAP/unwCKBwcrVN
lo3OZ+rgdIYmKAkmps3cHe+aELA6hzsrOqhfBuWSOMj5MjH6rLp02jo2bvC35TbDrlblejLPSnSV
tcpa3e4wCtArK4b+Ks9DPn8LEWzbxW4W+9OsqgfZmLz30gaEAKQ5dpjFTX3gf5WUDyopjiMIz9+p
pFRl+fN7n3wf+t9LKb9+7P/ET5Q7VIADOt6QdTDNv0opjvGXo5N/qxREzFUZRUbyWymFIprOeAoo
NOuE79/FT4KimuVyLK/QnP+slGK+qC9+S+tMUlfSVmQZbCiWSnr5OuEgKgG9XyXjvgKlztBq7BPM
1xKe1fdfpZ19o4GR4qFe+oAsWnhZanebeZYZG1RWe2rv3rujmx0VaJtX85Bfji7lZkexqYbQZ8Y/
RISSEvvLASk/BpFlaxqFSocZXjAkCLGt6VERCg3CI7e/rcOReCsOsWIxlTnQGmwWkcY1icBHL9VK
rqk29NWy7uuYi/vBSijD15W+Sim+2Uqt+jmIa1xAC7670WkP9dh+1Sgveos1GjhkLSWA5vZAcfsO
oPS3kSmO/Gz9Na8om0U9/h54KMy61m+12O02esn3AamMxbdtvtpaCqe1JeyaXtronNfejAXKHxXn
0LbuAZZRTwjIrRkJSaO+gIqcZs96pswb2+ZWVm7b+WrDL81HboGZRZ/5CtwG1T0USdf5RHIMhVX5
DGNtKkGMsY+pAXq1T822ZipxlPt2Y/NvM/N2coc+WH8ypSK/SQTd4IXe1SaS3IIaXERg9dpyG1X5
rZA5KU7HJYkIrQvLbFABTIYeDA0fyKjtzEdW9BneEy4+B4GIqMpnWTYcg0aLNzSUmT9lzK7biDz6
HuaKxn0Q90JV+8Ao89rrVDwJq+h4S5ziwoMcda9NRXePsTPDe2zjO1fyZYubZdlPLovDYGNnl3QO
rqbcvyySpJGop8ym82uHdUBAdluMLvpjVcCB0EYiTv4HN9ntmPChojQzD+gZxFZLcYHQ05+Pjuj1
YOQQ8NWev4vT5ZR0WgbIuNMDZ4xTzw5t0hIOw82QE5cXDFBkPT/PAkm+Dvtlk0/JNySDPPuFP6X0
BDYMMij9qXfxtowVP8MIyE2nIfVCX7dcga4QXtu1X1+edxHRwxxzlhU9rGUbxSwZR7Q8+gazxGC7
+VHVomdecla1zd91Y1YnkjVjU63vQtT08nPOvJCN7WKq0vggvHnuZqyz5ITN9+CYzr0kEwimhvcE
ln94nEB+XsUOb4dwuq9MOMbR7fCE3YHFhGLp9HIzkC2g2VD4q3VWfINIqAchQc8x18FL0nmrPYZh
h0dZCu0Os0PtQVTHRd3KkQSzrmEa6nrQZpXqM2mZW6qOfIYo7i7cTpl3EXW5S6MJmR3QL3qQgSwA
Lm/g1U9pGg0Vq6zkX85TmV25Oi8qLg7IC2NMbsNcvEDlPVHzMbkdY+v08noZ6bLsVXCW9LxygM+V
O6/gx2rD2N4O6q/IjvSVyt2sGlmAfZPXMKP89fJslYKvr4TlpY3YiC2EJVBiNCTL5t68rHKYfsu2
qluxYxxtFpAZiC20ntzHUVV7LwtgXeG84rcJ4w13hmQbE3hoAnMRy/7lMfcDhIu+ZRnNuDSDMdXC
J2ZZKnsr5qsuhLrAGDQFIYvB7oVZiMY0j0DLniNSJwAnvD2qwttcgKv2GBkbHtV2KC/JOueTNVs7
d0q/KVEiNwqIxssw07MAtl9CXqwq+8jiPa0WS7uUpFVbx2aRlcyZuVTw9HlLyfaFZ+kJRINLm7gk
qjB3Is7Byygzv0ybRs/sDOYU96rhk/F3mwYl42ECAL+mgq4/J4W6pzFrQDiM2BQjjc1t4tEpTiZ2
zH2/jQ3h7hatlDuCOD2ozXH0rIavDYY3YTqGxlvk1NW+cNnBCnpSv/YmXcx68PLSkrSPnhIp9/zu
+MZqWRKtZd7qMpU7O1TcjUUNnWNnYjE1c01tBVpBVmHzoHZQUlc059PgZM8CSVBA5MyV13ttCyvz
6cnGN3AYxNYsKY2gyOp8xbXYAk2LKJ2hKTe6tpB3V+gU3LB5bhz+MXKIgJeevnnCfmIqebLV2va7
C2QmYOYRvKvGeSgqwt9MiZHpDSen6tONMbnRUSbzKjZkOLPm07UFu5NNFROJZrquPo16Jnqt3Fr0
sqYdCFfroKkubfpNp1Xna3UqLA9L5b0VYdju3KlOr6hIDMcEhr27MVRqDxs80+YQrG4KpFlJf8PM
JjuMNraWR862xWWaejID+INupO2CxYxrDfxcoxzrcHjCVln96MT43UwYIc885Dl7dhtDWShnKXhu
PLb/aY9dqtqStcyiBp7AkK46pfVfpOao0MjVaWczPPhKMHmbPrpRTt2JOrvrHMgyu2Lfy6VXvkow
PF48MOf2MoyF0W9apIi210jcXScLZZ2EhlyGyl0J8/UYO/b9b6HYG22Zs0LqGtegyYWLYDsrzPCc
nMg4Xoj/UHH2TiIlcLP4Ock4XIzSvR9aRtNbjNzyTJSl/vvXXfu5Z/GUiUrSJal0VQfjxut4ilq3
LunmD3ttetnseAeNJPtRTkq2mevs+f2rnRW1f33Llcep03PDYnJ2tWUCPJ8s5bDPJQtkjQREFioB
jH711/f6XxLwQRLAWJZ17fz7LGBLkyP58aqZ+s/P/JMCuOpf/Aqa4DRMTQL+tXPyj//Bdf4iKbDp
vdKYgDu5WiP+SQEM7S9V1QRTLvgATGwwzH+lALRgLbIJ8gKKo7bOVvafdFPPXxRhMzXTMDX0Gfxf
dU1Qfm9gRWSQi1tXw17Xh6gnAhDUTBHViktzALq9gZNRXmY2tHpfxB/KMM4WMPWwNc1hmCaeCItu
8/rpfmufgSlYoM7N/W4a9BFHNqIVLdFzX8L02//2WN7YEd68lFgdJY4J6eqcdNga6ahphdXvTA0V
Za5rENi7uA5odTUfbAJvXYpbKQy8K2sOt24Sv32rRUNULE2zh9s3J1Tdl8bHA5Hh6nY+Gky3tq1+
229ebiDWFRVpCYuCgUKvL0WLechyixsokpBes9QpxTERfR5tPyrD1HMqAz5piKyKrmH10cyVNy9O
KLSuYurqZ9+zR24aGnXf4/ky7Q0A6zgo8db/Z3BRviJDrpjdCkQKwShdvNdfsYtcoxubcIAJZtpA
jnVktVA/GmcM0rqgS/X+OjlrJL9cDvGCivUJZKl97lew0MMYsdYPO7IooHJZ+9Mx9GckOsUGNO6F
jc3+g94kr/LZMwRWrAudlF8zNdU+28XDmPDGhe24S1XL8kDM5zwsUQXvf6/1Nr1eKVyFxhZGRJVo
yFgX7W+L0hxCIGwMjd8ZyciQLkW55Ji4lppOCquiIH7/am/dxd+vdvbQkEyAoWPS0s6F94IAHaf2
iESuTtdhtEIQD2TZt/cvqa8d8PNviLWKIUDIF1iQZ1uZjEFKThOvnRbbaOQqM3+IwNodYIW4uGWi
zB+aO2eUrtfkZvfD7lX3CD5lP0RtBdNNjMEw68yIn5z6+zwzeV7aptjoYd98WimVsGEiT8ua5YON
SXvj+eNpdKgSWfgp/1hxbkfqVOGj3eGCMLONqUyZQ5HFGgNYhytfHaZgzZgA3+DuBXo+m3+rIA4I
bd365CCH8aI6EtcUpKMP3gXrzY/G/ry+4RjlzlUVqWDQIH2ynhZ0jBI9tny0G0CJXLsPmALTfWb8
A/isyYbEVuVLeYQB217Sdxszv5h7hOwoBtHeAIfB/70xaAL5YekSEuuRvIgGvT3p9qIcFuJkvyG5
8jERM0OJzOthoAP00ANo8gTNJK81FWfLxK0EFGPrBrifjn3WMu1PyQevDy3BGCpm35nZZyqxhKSm
NDbSWFC+GgMIBaW/roSz7JvEAT9pkonMyAwvVbAmX5S2GXdpmSkrXf85k8Zdj8MYmkKU7RkF3F/z
m8vt+6v1zxcExyOBAW898rw/jGpQZKzBmtaH3sUnJRtiNCPqQUvm+2EJ62AY4I3+F1ekvQDLyQL5
cD4VWbTzCFIp63dtGAKWMINci76L0rxsDZqltAG+vn+9P09B16J66YAkXa1q56XFLhIjg1CHfpdK
EGH6iOI1gpARuHr70by5P5epayG90lWEEyrN0vXf/7a3RYM1phPKpJ1wR+uiUhrtUE2D88ENfPMq
aBoJU2gccg9fXwUsulL0jGLYKdjhcQQ4QtnTrHRv3r9v5/o2TiC+DapRPH7Iizj9Xl8HhfSi0dOk
X49E1KcPnm7tuUCo1TFGyww7pjwZLHzSD0QN7hf6SrvKzJKPtqVVa/J6O13dtdgbVwI9msCzY6lp
KniHowNwd84dik0i39LZ7bfm1CcuBZLFPGgl1LdWrX7m1eTcMbF82kWWOl4xP9Y4oiD4cGTim58J
rZGLGk0Qs54dK5GpKCA0jG4HnKI8qK0VCHWgi1f2zSnsaqxkzlA/5rQ2PWYyyOthdfozXBlUu1tW
VDXynwwVGU+ZO/vLMv09oNfwmqSvP0kGMmHMSKy9xTScYynBN6r9R8GF/uYXECiCIbsgsDTOVFyA
TkUh3YmbGsu7qHXq7TCZ0eeYXcyrGyf1Q/ydXuHYPSdWWxxplD+5iXOP71EchjoMPbg8Y0A/VdxW
i1Pdu+byc7FCJiO61IDoP0rqtKnCWdHnjKAC5fLB6lwf+x/L4rdvcLY6px7SUlTJbieVNDpi4y2P
vYXxCVOR3yctm/wAjy9N1YNRUTnsang+738E4+2b6K7yZqYG4DF+/YK4kr0EBVS38u56SF74Eb4R
Vt04ZlfC4FR/VPk4f0H5HX9Hi9cPY+TBzY19QLuUZqNuq6td5bc2rVgApFOBu2CovZgL7maLMjYm
GO2nLDWNrdL55FBdtBit6NuK+IJBDTDqaKmXiqXl+6WqnihVf7IlF4LNSD8coY31wT3/M3SDj6Qy
wpQIwQZEf3bLLcz1ILnYEJo0/1KGQDjT3FcWnFpU/4wP4sQ3tm0E8RaZJ7MriRXPMooO7jX1H63b
1VH5LBAycmpTRTbRkHxwpfU3na0krrTKUE2TMs15YA+7aAAjZLGS2ugeDmCEm3bBJoB7EzCqzGjn
qrbiHpk7+xHP/43T18YZv47V4GAi8H69gvooaaAYqt1ucOQjKsqb2WnWoYXPudN/I+W1/feX7Evs
+cd3tbCkahBIGCpy9ghhsnVzkrBkScPLu8Eg7pGh4csyprgO5hf1wD3WstmPZE1wY1LjHbuo9VWi
lfc/ypuLiUnVnCwg///o+CVDP1rxyPuLv6/31dqxNybyL4YjVZFnxenz+5d749C00T+tnUpyb5L8
13fahgEfFQyc3knZ0iRgKLe3MGftgxzxzfurUclgJXF7zXNXfNppUaWhxN2RIzMHbpyhtJUAXezQ
VQ4TSj4vQq3iM7UwD6YwKoASaTmaMeVigSz1wfv6Z1KORJeskKQczbt1/r5OcrAWJm/wYUYqsehG
ade3C1hfGXlRARex7opyh91X31TZoH7wWp1LXdf4gX3R5mYTtyPjP1trPZhS3cD4u5OaGX+rnVax
6OJE/TUOVwvVpV0BtwayquJ+lKtFEAZGbvlqWoO1LxonzugSyelqjA0KznrfD5oH2b778f7KeGOj
ocnFKCFefeKcc5NIrLiJtEq72dlz2G4HE3mL2TUiIJZPPrglb1yKJrzpCGTMWBDOaz9JqnV1g95n
1y9h8Wwa0rldyriA5mmr/8XXWkEQzNBZS2p/7Gr1ag6uXbPZWXrS3sL2treVdMIL5kRSRfxXofHm
1+7xO07kjU2MK1EWIURE0XxeqdCXMEqrgSslhhr5YV/Wn4qI4Qqcbshw58LcmFAVPtg+3ryV5NeM
1GaoNuaH1+9zFKlAymOr2SHVohdrzbhG00L3W1XvPriUsN446Ik0VCEYrMSI7POI2wWuOUSLxhIx
W3gRtpTw+JPYnBbG2YZl7tltp/s2MTkmcmOclC2Z4zAHy+wYxS1eZV6uxKDGeAg7mT/o9Yh0Cyuy
Cy0/hxaLSbyJnyoUyFcZA7A6urU5DZyOWZ/QMPlKBkqACgGrGK1J2054AOSFpcRilyAfWwLU6nBP
oyzW7u1BR8iZm7OlbxnBOtuBAaJT/yrA3RY/bUae0DuvyWDiizkGG78y1dr4c5dXmjzkcBDBxSda
wTAxtdaOxYICaNcN2didrIIeyZUJVTO8tTt0jFv+rEyIzeC+08U2RcaoMMR40ZXrlJbjD2B5/x97
Z7IbuZJm6SfiBedh67O7XHLN04YIhUKkcTTSjMbh6evzWze7s7vRKNS+gFwkMiMULjpp/IdzvkME
YdBVTwbcdXrqG6s9YMjGmTJnvQuoNhev8Fg8mJMDkvYjCWoZO+iBJMOrQ3POtjW5Cf25MLST6CMS
OVZ7pcak3CAKmyfwfEhsb2oLbRJzh1q6G1kH1+JKoGb5FaHkmlcRfvj1ErOFeZIBqsY9Yrhivh/T
yDxBt+71FohAEj2SDR1DV55NNhwpYqddF0+JYGeXIeL2ZbYsa/AHyb5BqtFuq/Q6/iP5JCmByQbx
C4S0aj1VdeutFSBwhxgmGbBwHB6Y8+4GE8g3WMTVe2XF9qMm6HOV1sUEcaGotl6XXIZq3jWd2k3s
zx9JglgZP0eVisx07/rlSGhTWe+ywZw8M4+sxNWvoiRYMBjcdDMUk7dDZfrte9a4Najt+Ax9tA/V
aG8TX4R7HxcoigIIoqRDZzfKl9NXpJGHodNmWxuZX0sXBgfjIeU207zCyvyK+2oLP6O7D5K630Lm
F/clQVPrwRbOTVxX+S1acSzNERJ+BZRjWrxgH1jOgxDYXZB2psc08cv1VJQDRYWK1hVviY1S0fIA
qO3YaV+vxAIQTyzlBWAuS3m/P5XTRDCNXUL610RfFvCOMVSVBP14OS57Ed+nsf+IfnPaOmOc79hc
LuvZ0sMmdfHpLpSuj5DW5SeLZ/vc5BFaDmgUm8nW/U9odQ2OUJweMQPrfdS2wbGvkLpFpG8eyZF1
j2SNxluGFCcXyxPGbmdXBvN7jVL0HfTIIQr8JzHM76h1m+1oQ4rsh/S9htLc8wTW8dEMUbMzFjEl
iHyeyyROTyr1yOTJ2hh1gW/xPXQI5osERiZ9wyPZtea+y/r4UQ0T70VPnSErR6tqQmA8W4SLdKA3
Yk+LAxmHiPHr2Pz4CoDkLEaAzpvSCL3MmCm6Bk/aikqzRwbcikQ/ly1ZsiuXm+etdm1v2kQdfQQv
Uw6JIhvGD8m1vyM+XTAeQcYRl87RHjJMza1uwZIu8Q3/pd1OPBDbNHCDWZ1x6Gej+oDfHCmoym7q
j+Vmwf3xYTnezi7wLa8spKxyH1lu+3uKllIevLJyh00dX/nEc4uB72xZIfvqMor7bFXNJrBOjGdt
xZC2Q4ncc6VWumyqzRLX5jlnqn/vVoX7nNZNKY5jEfbbAAvAnTO68Q7l2AjysGMYlwtlf4V2Sj3J
fFduo8WubiQv2d9axVnIch4obDEGwjtPkwqffFOmPwnD/WFNFYCs8W/t1zLH0wt7pvqnlz1SprlW
ziea7H5DixZcksaVH4jEAW/kat5rKpbnePaLD6P4ObNVIWjWbndaWvppMcFAwtCk3pjCsQYpVL5c
XTTcCegWunfivLvfRHaUu3KyuveoA+xK8Iaujh4q6Z1ACPoWtGjGsVqM4wYrdK03w6J4OCrXClDF
ooLJwjBYFxRcR7TR5SZihIwxXSf9rqRvqg+gwvnzGjTwa5eOVzV+IBwi6LPrfri1IREjaEq8oySZ
6HoPWuMpI5z+ya7zatVGKH13ZPBJ65XtOr9idDUb3mTuwkcNSwPSYRrGW5K5s4uIwcW0NoKkFgXW
2c9BfKHxFXvfFuGT0W6wrKhEulMo8/yCNFZ+MrpztwzOgkvW86gSy1Qvu2WYyt3YTkAvMT1ml6qS
hkDpIA8uPEQdDxXfLkP47lTWCZmIyJe+epP1oJB751kJrrcoyhleM7KQmIjlg9X7MzhVt3uQQS+/
gLc0PYD1RRo4NgVICiq+QzDV/FgLr57T+91JIrU7L0bJLz3L/t3kXNclirrfrZPBL18GMLcr9Mfp
Caj9jPNGq+9kVMHFXzoLqFKbZJdJXDN3UHDX8zd2Bh/9EPYdj6AibyQo5ezwWpYbYh+ytYUYsYNh
msM6iYchRQsDBPRZOnNwIcQufZFhnoG0GNrPMEO3psEHExyATcpZmZgiMhjQv2SEcJ9mYmg2Gd6R
m77ml4dqOL3ExJMBVE3F4W+pnbSt7DIkXbgggiSjfdVgHr/4Xlcd+/JqRtAJQ5yNKNF25bXmD6Cn
iVckS1V6A+sA7cbCc84Yq1Fv88zQGvqk+o4yP1in6VwdnV5f7/Ihh3Yt8Tg8kWFkXv1WD6RHtXzI
KrDLx1j38pdX5OGTlSwdGV3NmF+IBG6clfKb/r3qluk+DtXwasupfBTXr9vt0/gcIHR67HzDP1Ra
MHyi6Gp8sNr84hM78gyDYb63gQj92Esr9taEeWDF0D59xO3gHzs7R5fljfzEdikfKdmnl8RmI7OM
uDpOQG5UvrUIXfqJJGO+dTrkwBaYtyhypkJrbNah1aLB9IulBqtjhemjn9NyreSguvlYG0N2SD5w
Jy1W13P0hj53GmdWfqnKonVILlvae4tkAVjtc8V3bas4J47Ha+NmnSj908YWPRMsBjDL9QiyoS2c
Vz+7MqFG5fxByIkVj0eve+C0WH5at5AE3LvNXKJ5DIY/qMGXgO8s4t6XkssS8iZXe3ssnX4VUvI+
L25lPSba5jSLQvNnknH3oNOGwX/nyjttZphTRdo9ODrOLgRPir1OrtiuKwqNc+yqJo+vCD8r02+d
EI390Fux4oxvyzo4thhmfqioo1t64nQnAa1wiIFhZG6qvYGFsBd/LirWd2kts70hNu/ghzVfDa/N
s4e6b1gFUSbuQ1/JHdZT9dJLg8EDHQ08Jv4nJaXcpEZ6X0GSgYOVeKmkjw3H9chQQWob7h2u14qN
pr8pdc9ziJ9tfnQIQQPLR9cAxBqeWJX568pqnwB03xrwXuwibUEvQzbHiJuObNn4BMzWnIpa9vyz
ZXixR+woWK04N7yF9botrNsJ6e+lmYP0KQQLd0wmMYAZEPWychqWjR0Mv2Mg9MnMM1EYPJu3djb2
5yaLGjSEDRF0rkcJCNoKmlf2KwlwOpVRMz2WrfG+wZqfOmE7HGkYsxdPddsmdBD9af8GMpj/Rr0N
4JgI9K9kvO6ZWk24meUeu7SN2JblFKSmaOe3eBqzR7vJxx2B7oewrbpNMloYEwRCW2jhv5j/1R/E
qMCEj1oukgt1iYOeDmcdzbOfX2MS1LG0bIJnUgvXeO2jicN2c5M7AwjseRzvEU6DmC8K9TR0VshR
l2SPAxmcMOzT6H7AnbFiMD1DZk/9X4lIwlc8d9VBiOh1Kux6z7g0pw6klIPLPJPZBM7lVsQMblrH
Pabe4nxB8xh3oPDsvUZBt4nF4G1Gw8OoZK7JD2BUmM1zeENx4b8VfgDbeWp3PE4cwC3QsFUWArBJ
qiT5IRfDfZvgVd0ldbKgWqj9Z6INCqh3ib8LOLtu6lRVr04QRQ+z4VsKwON1u4i6cNXrHsM56aN/
FlZN7lpmWtx1BbeBaFAsAnxuiEeTEtiYXxNBNKFkwyOIwXGBSz1EIQW9n5ErNk9oScfmoEuCFleB
b53buZgeFtt90/gBdzyK8IYXlKxs9SjIouGu9oP0BUcMZYZvdjDebITysRaPsd0vaA+9+EbN4grJ
z7d5UJUrUniCSy0D0oTzMXFYWlTLcZ5bcxsGFq+dGgApD1zYnGQ2ETBUeDnadkgaPHd9Q1tKxiWP
ETs0cwv8univIavuA4cBPKO1ljfWIhlpDMICHEjwxnlmmH1VFhtCUYa+KE/JKOzHIPJPfRFNh9To
tSEz/rbiW75RDZZS5bdQWljwoA1X+szcd16Fqjg4wHTeE3am9Dm/+ra5OiaDZd1JxJvYuXPUyUY7
73jU+mPrRl/OEv5J+7b7pGKtPisA5BxaynoB6GTtPDNkWx0N9cMcUrFUgMpZeif6SifCX0s5NB2w
xRnoPV47+hsT2So6RKWD746M7/ZiETOVrZo5ai+Mb9BXunEBcHEgdX7hHg2Kz7oumge3i+uHUDBH
XgnyRPZFPurvSrn2VwN+7BusOhEirsUP7FABnIK+aJ+Q78Xje0/Fw/cmaHLw9xD6YqzQO1YSstWS
EEnP25LZ2QJbcWDoz//VpgKEVFPSmZZ17p+yK8qwLkElqEExRFDzUP+UAAcJCV90+mmrwvkiO5Y3
fetjxVPdlH66JaEvaz8VFklHS6q+rUBaNSp0k0TbpQyap6qbOBhUPo3tLsq0aXd+MjLRGKac2yN3
h6tAusGMm4cDdsyEtJ/PwAn4O4mcQGRFRUIGhN/Y3EaNR5LLxig+JQYz5FKbBpVWRBMz8Y8WwIrU
jVgCTd9oN8bJ16McRbajeOUnL+SqtEd/ZPy4yX1C1PcwvCkBNBtS6BcToMUit32AQn1N0VqlId+S
RUB8uK6mIf00vYHxnQ1g3xG0BvWPO5CSsho6D8TE6HvJ539ezMBYGTEDrCfRMysbZVoEPLaFJRW2
ey8JsjUBrapcMwvi0mN6bp4C9GPNvhIF4x6UBYIGk4TCg3SYAl3cLpicHeGRwc0MEf8pGFFU8BWy
b12PacfvV0YB85Be2mVxo1AxmH09I/y4RfhtfkzIbHQ1uFj/b0PLgcc/G3ffDFh1a5AND2WUdNgc
QO4+IzNX82FiDJ9e/IFf+uAam89IVc6nFk3KlxfOU2Ox/yNDHUu54Nll9p9DHQUbD7UKwrjmkHDV
t6B7If99pCKelVF/BC7wap8MPe7QIalFgWdTkPRUgbKi3uXrXA4N87/TCG6DdPhWU9EFuS+Lox32
DFEIqwO0ueoEcQg8UzTcvIR5f63hN5E10mDUwfy/AAa55IYEnO5aQlZR4xIggTbwxSlsd9tVrX1i
J90fxnrAqZHFE1rfUryS8TW+jC4C4L/nnf+jQf0vNKisOGNWDP9rNPz/QLhv20b/apge/2+gzz9/
519EH9v/iwoGITQsaISJ10HrPxpUxwn/sn18Oh6bRaSRLtuCf9nQEjSoMHuvWuYrnfsqLlT/SfTx
/b9QWcBcuSpbgUz5/y2ij//32vvf1mMscm2gIvyH9QxI4/97fSMJs3dpXPJLJGXicDPWFs6T3A1w
E4TlfIja0mt2A4GQV2yFJ28z6ud1JbL8G3cDI7Yoq13edXbeTcd86WoStVQU/l56FxRzI2Jm4Yw0
z21X9tWbWBAptmqxvwv4U9A6h3IaKFWdaN7UljHenqaifYm0jhhLkZtoTpMn+vG2B6i6zXU5MZhw
q3lVYpG7lch411BFECXO1tkeZolFE0jB2imahbDOuf80CJ22rptXRx/Q2Lyei5guIrAHUAVe5u+Y
VeWYccYmyNd+mIvbyhD+MoDaoHce+qNpa1SHvWimB9NZe7cY3E3rJm9jM5FRifmuXtdgUvlU81K8
TYHCwDJ4ckNiwzkn0KE/XMNQHc7W0iH2a2irgtCXiIJEUyAzmIaE2isMK2m5OCu+ea6yvQzOvSDD
50Sfpe4JZijCmxEX4W+uyHyDh6ZI+2eWZ8tR976y/Juoz6bymiK0kv4YTnLfx4QrbF1Edbdt4VfC
rw5RNTPwb3bhdbrkrEcSi7V3KMQE7HZaY5xjinfDBKLpk2XtKN75Ew7ecihy8s0yfPLm6NTk1Jmb
ir5doNCcHKTSJTRRK4rkRrLZ/jCe6zwqUn7vq46Ite+kiWTxk7AF+mFszQTgDg1pUDtPcDudXahF
RPXEKjp6Z849+HD9EnOmyIBg2gySC0VTnq9n+IxH4SeNRzpm+QAPpN/+fWpz6I0X9gtmZYN55rac
ynYDFYqpgus4p7jgFcvehMkK8XT7knbQEXJ61OFAtg/JVO5GJH3eoFjR2SmGK0I+GqgcAAsEER1s
YJx6W3kzQXST3e8wH6lfrSur367umPslpQqDVd8xjtBxGlcACgvcdY1KnJOC+0HNllW0TyzBDn4z
fOb4OPR6IV3k3uIKBlQgMvvMepKKs8LHwz4F1h7YRrOJ+Oduq9ADmIKk+aFptbPPxzIuLrzVIjaF
8TisStcub1wnw0s/usps4mvomSFT7U7otHBXk658AneL5USWm40b0p43qN1+8RmxT9u1sxsqBis5
u47N4IdndoXqPZ/K9DPvEbQwkCIijdnNFu1qcxqcSL7QQNwFTRQ8XO/sS+pgdoAj0GzDzrldCnIw
cyEBIHoSEKOQrDt8T9o/7FnsSwuh6p34j+Wm7/zx3JqyOiiQlUx0w2xfFAbMjFC4bDp87O7ICleG
gKPQHZF74sXuGeLs6+Lal8YD5hlZaXgmVCQ4S9FZB1qu8S3o2jFfFeU0ntFGuh816xKWNPPSAjWp
bO8RL8ewdRrl/VhRnNdrzdXYlUuhj4OufrPPxUsoUowp1jB3yao0of8kvXHK1y7mw99+PGfPQeFn
5GSWffClayYsTaIUP0NaxyqmDfIIGFt1A+OZ0Q5bBvtk9sRFQcimAUrhNVl8mCA70uri8sKSOBXU
RBlerWjQgDGgmT1r0s7WFdfnmWaLxULRPsbufE7G3CKDKk0OYHokTAavi04xi5lkleDR+57CJr9P
qlgcTNo23/jYEkIEZ5eE0vq61phb/9ooO8c0LB51jWMWQ9yEMGcOnhyrlWisobQfEqL8SHBaXiBa
O4Bhgox+OMI5RBoRJ/tge584YSGT54O1mUbHL9gyhMFHAMV1g8h0eWxZIa39qB/fIBDQ8AJDvHUr
SYCViabf9IVma1xP48MbofAGHbs8eJP7yXe9d7dZ6sviiORipni5n5ug3WGv0vdu38ubFOvwU+T0
S7lWXV92u7ZV5Na0nf0rlkO/8aehfWRQ2mrsj7m3zovBWvnQRn5IY7QPjWmiD489ANAjbq3twpGz
zvVssGAhPNs0LSd/PPZgPGMT3rrdkq15Ir2dnznuS9Yl8iYeg/zUJr287xzyPjVGTK5sks9/2Erq
p8BkRJ6hb8kp3ecK9oWj6nU6dUj0HeOSxzDPAzJ6UBO18AAhAKnDXNDeToUs1pbX9eelaceHKrLY
ypXJbWfcgDp6Fnl69EKrvM1tLBOOC3KiUsZ9LlQlbyMZz0/26KiJpXqePJK2qw8m1tMR+LjwCbj0
x7XJhX0BVVO+1UnbveGU7e+boUpfZZmKm2HqJtgm8fLCBHi+atwKpEFm3qbskZACNSrf+Py2LYMX
19ZH+mdDPxwNL75vwzYXyL82lgiYDwbY8xgz2vedijJvG8Vpe8KD5et1XY6scAltKgFyM/2OW9/j
Ourx3Z+iK0c7D/fkHBlGLV26nBzhhL8JNbDBmKcs4jINMyMs7ORtXgJ1sP2FF33c2ES8qUyJXSjK
EPumlM+sOVmwWGiJiJpOiafdxON0Jhy936GJY6z5P8Vxo4We/4vi2KOrQ6Pw/y+On/9Mv9S/l8b/
/I1/SuPE+ysA34ia9KrCRpSJgOlfpbEdXv1ZlMyotv7BMPzLnhWSQYNf6W+5PkKyBG3GP6WxG/x1
hTNQw9p/B73Y4X/HnuXAf0NR8W+1MSVOwNQhifD4IaTi3/o/FRfkdFmma1t4/de4MWOhWlTV/Pvv
yDEAKt02tzi6p7pllD7Gt0pJ886EunuSrfXU2b06DTMD8Y5A5du/w8gQnoXp3lw5jQMItV9DFLVA
xlq7g4yfgl8LAjeDcxIFs/fg+6J065XVVE50pIgEwZT4hM2jXOhcgANWubQQdEot5W0sezvCDsBO
kHdeSc+MBgXvUeGzLM5sptNy7PvupYobJKN05nXlnPJkCuEFummitxFDA7XL6THlSfuZIDwbWT66
zNXkzkS3CPgCzilqZ/fVxxlL/MnSOm2w1n46xfvYjSiSBtEGdkppLqLiOZ0thr0rcrtNtyHKoP1V
NGn8nYUFqJfFVTCHtjAVOUDXTM+F/TRhx5UbzUdQ+3Jq3ZvY9vDFDiFbt7S4UiVG0F9qZ8AdmO3S
FphK47bADt4ysW+Ehv3dePpQkJ/JljoOPtiw+rwns5wlsnjK2KbxZQ3Fbec2QB3c8bVohbcv9Fis
nDrJDiWW+oUSNMvfiNkGAjQbcYzi6RaxCdCvYXhTWQ0lq1Kwmhn8rBqTQNvJwt96Sq9L8fFjKQK1
dtkslpNHOGL5ik2M3iBxCspL/ysTVK5eWg5PSzyoFRGgDH25pJaHvjyIJPSkKI92MXMU7ESPZhGv
YeX+tJXQN4tqxxX8mbsl7wgYH/RHW6tTbdrmUGohN5HwNhOggJWaZXgjpe3sKE1xKdctpWL5yuZL
bIbewj1dmz+haMLbOlzS+zFpiXQhwGuVsH1bKQQy5TyUe9/4zmpazMUtyEA3pBysMyet1v5o8jPB
mv1trOEYIA6wj1ErxK6Z2LxApM4ZGHXxl8BXCLoU631Ma3iaePdtZRdYjxkOvVVTZH9SL20vgcV7
U4vpqWHcsycniZWckOLQlGHIRNVmjN7OpK41wbDTccBaOSTVuae73GV14KObtJK9Ccc/FJj1UefE
16acHauSGRcj4El8tR72O6J4aloB3guJXUOsaL0asZGe18HCpB7lPFwiS0EocqdnJ8AwQ6PxalXp
cVlI1KgRsWFctt4CupiVV07FKe+CZG1JX/x4Q9B/DksEJEVTfo4YiXDNIVTBhk5YI2P2mxD0P9Em
5HtuUO9bP60OG/YIWBFoAmD3Zpu+MOgZ5nqyDm5pD4+zY8boqfJLeY+Sl6a6I2v8TiI+3HmtIFaX
nkmtHRqjZ6CHeq1tZ8n2FIvuqcFVRRaRx0Z0w41VLqt01L+HCju5nRpzX9CKEvLBbYFPpHJWMVSZ
b5bxtr3NIn8+UYk2B1eP85jsAQ+KiXjK8JqHzqctae5H/eN03YivbEwl/ohhyH/mQiU8ayNZOCvf
7uR4h9NCfShCDo17RYAtO1by9k3eJPV+FDGa785y9+SA8JuVI3lJBcHIOZruYgI40LLC3AaMq1ee
XLKVLTtvmyYLyhsWuQydl/cJiOcrb/vpriqsXzxSbyzmMTexFoDdrk/a6vw7ZmXlpq/gkzUWQe0q
JnbelQiwyNZsYcsE4hZHDMKleli8zeLUzj3E/ZeODHR0AomXnKVftScnAeMYeeZsBiEfmZFaTxir
ol8u8QebrEwAp9dXzMjAPgsE+wSrgxJ8AkI42wSozy3CSgAImdb6DqJcu+XnNDsiBbDHX5/a0k/D
B7otiHlMSQkFr3LQc+a+yn1wW7M6jI6dA6LSNJpdvMRAFsMG0uT8AdwjOPimTn73rnqIpivPj4BT
YpBj/R7ORQ3uzba2rmeOfuXEtH/MgVbakfonbcm8KCxt3aCZzeHmDw5AftZHpPCgwUHRsktpNomJ
ne/EGJeXxcJeMgsIpc08EP7RTLSYCnymQcO/JQ0o2+cJqCEbdco6KQrW3w5C2KtICCHPbTJwai0A
X1eo0rkTSWw56pIsynDsAzAh4+MQLxB145asZ2D6V3BJcuimiQF3lxyJZrluwSaAa2x0f8+yNfA7
oO0D+bA2bCe7DcRVFjZJ7KrnRBR0I3E5bzq/SjaEKB0TK4FCZskf7KsvZM202yUZh52tJLSMmZGH
5V+5as2U73CATSer7L5NudxWOh1unAlF/DISXVu5UXO5VqVnd+KLbey52I1C28eFYd3BwpYFFKkp
VyRxCsI22IBYkHZXQ1kQXsLE/8JU7XMhK5lRb+SQUKQ/3bYsbwIMJitnbipygsZ5JefCOXMPkMIk
2D2OZfkzhOA0Jrl8ZmR+kmqccJYV7F1v4XWm7sogBeXFn33V0hnXdqX7e6Al6Rpdnrob/djwcnfl
KrSzDxY1PzLp/vhaVDsszFB2Jv+t7nHC1aUiFSbmRy2937PWn/RPP/gkyaqi3CAmYJmtxvyewXnx
kLitPNqxu5zJxeIyRCVM2BT+j+Hp4pQyb/Hc8sLQ3pMQIZnwGbO+Yoo510NRfbkNm8Dandvj4Nfh
rjDRvG4Sq9nBsK/PruOOW4gW/tp485ciRXZlcBWsxoTPwFwKxHjSxa/Kdhc0eqrlgi74pFfYkFiD
j6Xk4xtdFh889qW+vQacPHfRVYQNqvkJAdsxZBe+tqokexiAw94HDE0+oiJ8Yug6wsrN7ny3VQdv
iDNvPeWF3AYq5ULnqGBfgJyMNIchiwMdb/0lDTEz0fDwTZtx3jAGpSkKDQPVrHW/g2Zqgs3M97xy
pdNejLPog41U9gCVNP5k2GF/DPb0u5Cpviy2ZxVbY3JzKKT2CKcIDfkoBTNG35YYO4N8XieuSYhx
CgLuCLt+7EgMfRxRTdlrTk2LEsOFSRz4qvpRPXj464Oa8Z0yogYWHfXhXkon4JFpQt0eepUsYCCZ
Ym/mzHvCuIXaSdtnrNrFuyJ876vJ0K2MebpsihYrLpjQbyJxgqeG8MLfTlZY9Xohpa/EyjBMRzm2
6IRESf+9gbo6/baZjWyQzqgnEsi7Y8rhicTdYpHShPdL2NywrNcRCRxuOx0ca2F4ZUITfadZBEXW
VRExHYF4C2TvA5EWwaavx2qLno207FYupCR38F9b7bWPvef3Yj1zKe4AA8Xki6Rw1SO4INlm6WMC
2s2k5ksTC2ClTl/s0mjUOzTyIHT4XHvdh9a+CIq03ndRJd44zco3XnHDewWv4aksNHPBIhJHOxip
eNMuPHWNYWQuUOSWqzkcsT67ophvjIV8LVny/gQRhQciR4MCgrBKTm7XQ2ipJ5avk99I+MKZvV1s
1T9ogAxvdrwM36TrmEOs2uQGXrS++Fnev7Re0Jc8f22hN2zf2HQHLJ2orpbXpGcaxfo8UCM8H07Y
NX3SkBDyLD1cJpWczVYUPA83SewD2Y2Jzn0Zmd+H71lpiWVjYmYFUKv8hAexnzTxOOGUbf3SD+9C
EoA+AK2GFsXK8ITZmF0hcd/WbdVM4iOtseiiTar9DeLp6jgM8KAKFsPxyvdLQEKqHus3O53SB8Mf
PUw1x2tfJ0+wpokhb7rhq6mxCFp5hN1SL9lN31CSVo3pSHapTf3sQNwFwhO5+5F0tTMJw91uBjEE
eAwFsrQWyErI24LdSGDYA4whNCwBfgMSYgR8qsIZznUD2Nx3i+ZASl1275KFNj/GUdG3lynLp2CT
ZJPNwoOlfehSLNQyT2bFiG5wXQaSlJsiRthSRt3oP7UaIRpxSMPcxlGvDkWS1wnbv9ksN3jELXJk
CmdbLbLpN5AuOEenuGJBjO77oPMweHNjUYMlQvodHfqSZ/GLSM10Y1tFmp2FMQKR6Wz3xdaNM+SP
7kCoSwmIitNH9+3ZaEseBsbMj1On6QUcNhOIgDHe6Nk6dWMvjz335GbQnjhL6Ffr1B2in7pv/d92
UyKJ7kWviz26v2dVJqn4wISKsoCd9q3meYTTuSwBrtc4/tPGMjuEQ00JDifKwrLZM4ctUFmLkNN5
m2Bb2ylXLb9sCuubkbBINJrVXRtJe48xaDgtbqcfpBSS4bJfP46jE5wWKRCAIKHZBLlDRJEDdW2b
Xbf4rZ1SHQD+3U8la4oebcCd73dAkPmML4oqcqsneIhL4xRbTE3X4rybt5OLqn2ooqPFZHXT0rg/
YjVLdn1pu78Cf/IPddnLVVpyMlUt89NItPleZJ7Z9O01E0zU4TWMPR+/IBgZKCX+xZvy5Ntu+gvL
aAfFi43MxXXnQ+egHiqHITuj648Jgkr8cct904FUnIItpCX6G25KGzCHyDE91fk2qXiNp5NVfipq
ekAMUX2wBD40kANgzcewYaRbabW2bGvGBgnImLldvWqSyLpob5kf5Zgf0IdWt1PJCCvIGg/1NeZV
5L15/kfK0L9NUyE4aLvskLYWz666ugyYLM5VXq2XHhhrX2rDS2ecH3JtJ3dmylgbNSI8lKEIABxg
bLRV256E7dzH7IlWSpElS1RV9gvkdcGMFO0ChV0X35Uo/NZQ2GFFVqm/KqrE+8gSJ0L2pNhh1yKv
PyypPjqPYGx0xXsfBQCjc2m+kWupA7x9RDg1WlKHxhMrVIC8e2qyCoqWx/QhysJNuFS/cErnW8O3
BRFyemfDf4N6eEMiw3dTVO+qIEkcnbXdbgF3k3s4ed42hDGyqgDQnwqhSEtQExjZzEZpgMrBXlsN
0Tzb/oo+zvyJfWRYNNwtuLsdCMxrt/fFucqy8p75g22zG5mGeGukbe6Upt4ubMNu8Tr+mWIlj0mH
sQ395HLIitj+Mza0aIUuzKHGOAL9oHMfCh0xEZDosfNJn9DPFSubdcaJuRZ6+FkS/heSB+Za5cmN
avOwlHm2y0T3Rb9GKTY3Yt74S1Ef2YmZEj+d+g/2zqy5cSTL0n9lbN6R5o4dZtPzwJ0URYnUFtIL
TBGKwA44HDt+/XyIypyuqpnu6XmvfAjLzAgxSMLh8HvvOd+Z3vp2UU/2w70FkPmVo9RzYtQMRnTr
3cVIPNcoVjg4VvExHOa6QZVp6E3Zdx+BrO8HAI+rODVfS4MtD68J+Y8ueacDgI+3eCR1i1402CHh
Q37sQueZKTEd2jkz78opPidG+d4qSMVTEz9pV/6CHcP5b+J0VEbQ0OPKfIfkgpq7L+2vxkEAIyJt
bRDVvI6II38pVRgAGktgFiu6Hhy+R9LVVrNb3PypFdGqipg+YOZCsCKw4qzGHlzoKpiGWy2RkK5y
PwxpO7XDsHMae0o4/BeSGgdwXwY8CbYZvKGVspzK5eMhGlv5Om4N7oRi64pMn8ySoyRR9yOlTrjh
UinvHli0emDow8Eace2SI5slcuWaZNNtez+XzbYTsbosATlH/oXfykr/lxmZNztlxpT5CUGp6FdO
k8PDVVrDD8iOXb3PACtvR2aOTFKghzv5eEKQk3Gry1fNI2mdy8VLbS69QFVG6ykAoOBJdwmjbDnl
4R3cIyG31xAR2RLcUZPQif/s4PX1R+TPp5EFz0heiWMWGfdh0HDWyQkxSxkRKdm32Kcybws4Poe6
QvuvDgAto5mq0f+P5jpkJq+j/hqkzZcowO534YS9fyyvta0wOBUThDkSXaDLtvGe2oUGIvrfB4Qm
b4m0mzvER4i5NX6lCCrdPhYq2iZVIQ9jSnGmna4h8ToSdC5aEJKZ86WGMLh2hqANFw7JOq6mj4wp
2NpsJ2vnZcS6pa31PXR6+TT4aPvdcRr0Ou2q4aeD1PaJvc9cIf/Xa0/UkPRrmlFCpmsZGvZ9rn2D
PkuSgMwUWXYI3BIPVw5aerYwoprJEHRbiIoFmQ4izk41z0eJWWiH/Up9NrKqmGbByt1kgPl+ANgL
x7WcMuOzcgv94ImceSMPPL2yPLR8fgZ2xcsokSBypDHkRtAQaEe3aG6n75yzuLUiRe5JKv0HIBzh
/dzG3Q8jcX9FWk4KR5jRnGra0Nd5tMO1k8CbXKtEDC/+6HSPaBfs+aJHv0Jf5BXVni7okhPRIjKY
ZwjiskqkR4JBMjKCT5D34y9SO6avKC/hZlyY1DqgIXkYHJKwf54i54UTgvOECbzaRfXUHrgPpi1+
Pklx5b8OPmMTFZfmUyQWumxsPfiyCT8LJFPrtAj9NW5BM8FwR+LdHZNn1zrnJa3Vuu3jO84Q7biL
SKVBj5243cku2X9WbitUuo/CYVyaRDk5I/TCONMUrlyVFDcc74ZKOWs8f/pVK7u+q2sfTHlc4Sxd
EU0S7CeVhuuJfeHdZcRoXYbEEc89L0BKQt3Nb13W4vZAS0DTiAY1IjdMYfdWp7qzx+qp10IN0M7q
MjnPSKj1hgfWghTuIk5ME8JLwPlwkpDvcxJil3kvMtf7wGaItwcVRHtAIYZwyxhrDq0IaYD9Gjkc
T98an5xOtTSfRKZcolVIBFWmEbxCd42+HASC0QYDQjRu6KlNtynrx2xtcaNt53ok48lrKLxHJCqo
MEWBlNhSvwaO11tGBNcJAfxqblziJzO33TiqA/SRIE8fo958S1NO4BvHZsOetSMfm7oiqIVYDoxV
CMw48eqoesxno38DV9idrLimL1PMgX+v8Y+9kcAsLqIYpr2pSC+geG2sK9Y+7xYYIeWLlmGAfSQ2
vxOhkZ2wE/VPpmnRDB3Njru0KtlWV4XjlyZnxhizmtOg8/UGmydWN9AVXJGhEaUXOvwE8hK2auV3
qTQnZ9e6g8OVLhiNtzpiipw1j3PU2OnKnZS5XcKgn8XsRafUZqssczwJOWkI74gOOKjNbkt+OQ2m
SxwECKyjNKnfOpdx8bDY4qLK5mHGktpQ7CRbETXpXhlkghLJWdxpgmkWoQQEZ0DIZyVLQkczT4pz
NVfDS5uWLczokfDE2BhsnK52yHbSGleV1eriTIN/KGLJ5Lmf1X5ohL22FEEzRJ0P7b2fF9Y3urcG
D7FBPQvOd2f0uMOuazn908706NIY8W2K054QMuIQRmYZcKSa4r5rgx9GL+WWzSk8uLHTYpufJRJI
bg0rNeNtUiN5jaX/WI4uwc2T059cw5uHlRvmTGipOjpOjGv6zfqEV6G7J249O2Mq/l76o9z2IPZ3
qT99RiSKrDFZUhkgEIlXMizolenp1UiscOdpSaiKSSSRwULfx71q1r2eCPpp8Hitq6wk+yogQSi2
RnCriNtWrVNxlhWzfk9ye1pTKswHtNHYbDzZdI++V9EHlkGeb0rH7PPb6MTJZmIovUmh1SDRxtV3
NrwaLDXjG3qskpNGFe9k5s+rgKRoJ5v5/yK8NtY4PQxtSR+4z16DxvxmRWzWjlFuE9ual0Cjz6DU
eOEiBh4DgahERUOtJWO42pkysw8D/iq05zfoi5QKNuS3oBMo46P5wYoTILVp/aaaOn10o+4QGuaB
g1W772e7/zBGxiCmZXwDQih2YuaEPNZGslc9D+rR7z6LIK2vQ1dfu2qRqYnK59Eul0Iwzo0H0DoT
8mYzPtalMM9gXb9ga3X3lVlqLB6jDSl4JrbDDuxv7eDAiS3Gc6/UiGPzz/i8f2k6/x9jawmCEjnl
fzy2PuZ5UmLO/fvJ9Z8/9BdY1GMGDcSDgQcFDaU5r/fn5DqQDLWB4yycpMB0fjNH/xJ1ksUo6JaR
OeASJQd37n9Pri33j2UGDh+B0TapBa75/zO5Bun3j4NraIZwSwPglIG9oCiWGfnfU7kSN7FTzqvx
aawl0RSDogeG8oKxYO0RcUTKoI0NOg2e2NFwny3ch5Dhse9AQaHGqQ+aDShc+1XunubZs8Mtskh2
mVaI8dohkrb3ErmXcc2CVL/VeAMcoPlWRKlJY4mZKHq0cz4UPsV2iF971RViZiAN+uIcpARPrZpB
k15OH3QZBVaIcXI0kaDEIVlCCq8wEDeh6lc2R7nvQTp5P/x8EdywYW4jOqTlimwRquXJd0xnI6PB
Ns+BSUeoCQr3frDZkYq+uzW4RXdeA+BmhUgQ1rbjyuRJpel0HWPRXnRkFreCiXG59cbKQHnij5HD
rFHQvHJTdcsd1WOnIlWGqmM6ROD2TqbSSLVifz8mJkUJLOiKYCsH0WAT05lnKJpJ+p74VmxUrG95
wMk5sXT+hKIS9nRsf0SYzB6cago2uJetx85MF6HpZG9iaT7G7txs8OV6WwNpHOhiI3+0PCO/WOVw
c8TQrJ08p2pWoxf/wHOl9jao0bVGbX8niwKTlTvWt15bHl97nET3GCHsyxCXFu+tm7uzGLa1WVWX
UOniV9q7wY5Eg2nXOLDFIu01N9MNfjhhWG1kiPWIDLB65Tb8gvHkLbDJH9AeY3DC7k79UGEMwBX8
lOrGulljMN5ZyhsecSTXPC7j7ylIz0+qsGFDEt1dLpxp4+CIoaqiZ6BdZVz7aiyecp0VVCSESJo0
G9ct3wg48eyq87QliT3r1oRdNS/ZOIcruzHHy4QvfKNGB5i5wzs1sHcxdwij59n38DOQL015n5ZV
wMumKXJRmmx3HH/EaRLdV86ff4g6O796PUcLdG5hcPNwvl990yYcR4dpuFr4Bxd7mTGlqjf2GV2L
/Wx05U2YrGjP7dozEWb23YRWQtF3ZsJpNvcV0Nn3XnuQVIy2jZHwxnKD0xk12JLmvKmzbNh39Pl2
Rs1gGNDvScTufU/4D8YWlwFQTZI2okEmwcQ79AyTWYOI7DiOdaHRrt25fTWMfBc38w2Oi6CDfWf3
2Dmauvw2DV36GFv6wWgxbk062NB4usla5NvSVz8a5XlHwqdfp4XHxfn0o/B0TuFD4UXHxiSdAk1c
uVyp6cuIQhpVS2k6d+KNbvK47qcgPNCZNu4HPwi2IX2hTSrsdzbD5sFUxbgzGk7+eRY5ZOM09quN
aRQagtdsihBAmUFjx02NkwfPkrrWpKsc1tvOK/Q+xwR+TJvT3CZnzuFMOltokWVyKUPG8gwXOF7Z
BWjLlEihQSU78qnHtZ2lzY3Yr/yqfCc6Queiczpn1hEu4ngtxnzel20GI4MD/37ORvfe1j2mLWs4
6onghQ2yueE62O1rR+ArD/qJBAQyjMgyo11rD+KpTI1lhFhLKvXHKRys4oxt5IKA8ntVk5zuunPw
nFqUXOBxaXT5Sfg4WX7y4MTNZ2kr++jUBa7pRH66inp+FWvRfjSaj4zRXG20ys27KC+LnTAdlrSg
AdYX9u+2Xv44se2u4pH9Dhg29jWvnD7mLqBbFrI/9x1rMJnG6SOYqDsxDYr6Cd/tUykI3kLjVzxU
mKIAawR5px4jIqGPFn1EtLUkdapV7vRi1cxpdVQZqtFVUrbARFUZ3NrU+6UqMawjE9vOEPs5tlSf
FDYkhi28c7csqhCKe9GNYPk7Z5n2Jq6xkzOTfp9Cajch+uAWLxFZjt1rnE+NtA9TX7YnUlvijmeL
Uf/IjJTBXWyn0GLGeDDdh0z7WKyB8vuHrONoeh5t7V5HHthPlg65RbKBpXfUbe98ayhtT/FckLQF
ihVBLqufUh4wZLyWRujZGNCVd6vhj5hE7gl9qkzAs/UUGrs2SEvapHV7nMDUPMR5lz9hFbe8FZ1z
b0/UJQs3mIf4HaJQg2LVLg4S08Mn+dsiWEF1gFYXTa19jixNzeXZCvzCPDBX7JXP/WGhmFnBFqFq
YGv/RdddgL22EeS3fdM8TqNJmI6HEUmvSHFQzHLxsY8L7K1jVmLVn7UWyTvP5IjIm6K7byyksWHv
BL/EGHccvfPQuhl0pt8MQrguhSCeRLo5ylLLZeAYoBtNYqvu8J6ibYkCOzk6VX8s2G3XDeeHaTPR
KGFCFfItAg2M/deun5wzc738y0hFGp4KZh9LBE8yXMPadl95jiAPQEu766bJRJaJ7D+Eyyvj6KgJ
zvqRJUlgsxlF4StknH5Bu9HLK6bYeEyILwJFahX6HepGdrFyFUWs4tam4RoU8xF9QPaFxjSj0Y3f
jomsSSejDI+ZJKCReF9uVlW19cNcE3WybgaECSsTCEuxncxA3Ks8Ht4dCvmfIROxD9/GGloaaQBp
KgoiELU1oxEt0/4RUA+GL4so+B+2mJoHcvKAbVmYuJkNQTw4eMagPpgHlf56msPuqGRrDZs0SWvE
C16RvtVoSlG7VFaL3BgpFG5Xq764rcqP3HOYwjpTKNQ8NJfpJMbB1vK0eEdmF9rbMhEZiRO9QWZp
bie3kI7hHvedR15JV0Lr9W20t1acEsDBsGNtZaZ3pj1RnyQ5lBsXnc5m6klhQYngrrxczQuX0kZz
izoBqgLJQ4hs7BXcravsmnbTOE5wzo2+Y3Qfwp0bvVQdG8+mzCjyUr9nmvb0Kok6gqWhxVXfyBpS
JYKOYKohGNTzT9BH1n0oBrUBRv6dUWTw4sVl8VlFTbUjt6XPN2zxjNtI7auMNawidkRnnMQxAUB2
H8y299E7Oj+oWMFhMyOHSJTJmqzv3qBjuofSeg3aOGb+WFjUQIxH0cZV5JZgbONfs7nL/AOmXCZ2
WVj3S7NEfvYBOUeqdNRHZIft1QlaEizT0WSUPnOA3EZi6FhLoqH3W3ryK6iRTW9DxjzGCd1g+A1Y
TPlCZIbbIMyPx7uu6aZ9T8cSD7amN1qAjTmmjAHw4yTf6tK7RBP1Ylz0mHeNLRFQ8bqc2uBqt4Eg
CsWONlFQeMnGCZT5gHnVINky8vZkRpFp4uje/g4GGWmaXanolVBp/BJpMUCLkIYlqZmbRODMjiLG
DOa8HaCMHU1k9/vZphEwKyvfdUJ0Z2nEW7fTxU8a+B3tvs71oFxBhyZGtQS1Se3/Ejle+N21q3DX
V2T0rLiaaCmZn3f3sTni2eGYBXcmdASpo7RfbEA+dvqlRIDKnzTDcqWMOGdrsTAQQep6y8Mxf6bj
Fu/FkrJDY6g7azWiBpKwv+8y5rnrSHBGLAacNHSHm12p644pT0ArDqNT9q1B8KJXcYh+EBEFcout
Uqa7Res932WGVKcBs9uZT5ifTTtJfoRz0u6KpG0hudT9Lgqs8ljnkbUxs/lNTePQraUp9Wdk1d6j
VdfGTykSffyXuPu/JO5eePj/WZX8tNgR/9sazznV8j8YIJGFLz/6Z63s+X/QfxQeuEEhHddEMf5n
qexbfwCMpCQG1QhdYfmdvzTezh+YGyWGRAvH21JF/3ulbOKZ9MFoI6eSjrmIxv/n//iHLPLmn/77
7zl+zm/09t9JvCnjKdcpxXlN15L/R2pMl5hZSaO6Ooy9JweqM1b8Gu1WsI/LGnVjiWeIA3HqXwMo
BP2KDntywWJXbQDagacDcU5QZZhYb5RI02MFiuSpb9zwI7Dl+KhmC46VN8zOgQoBa3HAd3SXGD1A
5KysxvUwZm6xaY2RTmlMIW+d/dyIL5msSK1ByGCdOvAw9bamycnUfpoGuc46N4ah3Kflr6ZAkbjy
yL7ZZUZjP/xmRvGotNdGNaIDErVhkb49LbIt12F+a1iEFh+RwFCjVxMmF0OHinIrBKIETe00zFBO
YHiIcjvSRn4XBW9qgyiy/cnfIvuVtskogwtTNmScqRpbvefm0zaYHOsIHszVa/YfJHyJMTiHRCCu
31qzKH4lXPCDEzrjo1s6SKvlnIRfs+uA/snk0Lyp2fB4Xd7Zm62c5q0coOQE1FyPSHjjB85V5bNq
/OqhbfCl3I01dTotDJOBNbmbZP3kKNrpYUjgQURfK//KqHza1lSY2QpmDk8nYSUEktnpCIIymUEw
RT5gNfjZDI1nLeQmDDy8d0G+ePz9AknJ7B1HVagF1BY8Og3Kr3NKdvwB8bpiY615rrpJvZ/jeDjH
XWBCsutxyuODqZ6krP2rAXjgkmZ4zQI6FYdCgj+lEJLPYUWAXjJxdUi5IiG4g6iANKE3nma7YBjj
pfJkNwNT3DzrCBSny9EcZiDofGach1bJcHiYi/pd02d8U2KyLU6rNU2I37hQaRQA3RBDY21C3Hgd
SchGUWIHT6ZOoislKtqeYNTwDgDGfJjh2DTIDwzHRIBvDJ/+nPlktUkEsMqCoYqSOTrZI0qBQ+hR
mKHxmcxpn4SdcTZDox/WA4PrrSVGvwS0YAV46sgMdgYUCqq7efiiszPN4uCRs7G0VlK77kspJ/s+
xiY/ABPIbezyOOXAKq9dLF7WPuIAEYQrI00HRQobX4Q+TCQ2+u91X/Urow2Geh0r1wq5PsZAryiw
unoRYvj+jtHabNK8rbSBFthVnTjmdT0lb4h5gvbk8A9EI5bPNy+MjCfmQwwfs/DeK4jVTfq2eYvr
4kKgWXTOuyIJfqSAQuhgc4CtACVFHLdxaaKXeHEg6O0YuSGcmNt5C34x2wmX/2wtkR/xkA2vScu4
zAji6h76Rb1tFMfGTjIsyXn+ERRnQiXLWEOvLnli7oHb23guIyvcV1rPYEUci5g7nDJqk6Rmzahv
pHnQ/h4ulbyHwyQShJU4nTuwf+N4B24xPWLVQ3II8ZgIjnObNuER7m6zDvxqBE6QMgEdSRy1OXbR
cBj3OLSML2dmp8lDveaZvB99yUE0MSVshNa74Ol9amcmyxArGbynzqvUoCZTpHGreeqqB6YrN9TF
SPc0TRqC8OJNZNec8XPaCAgc0BOXQBpTp7wTjAt/0tS7iNkM37HyDYdxgJlZur3/kPYVfb1FpGTj
cXvE3m3taqByAMPjaW+78yWp/Wmf26Jdx3GT7yYqkNVo8FMyAwOVaF2pDWOD9yr0HCb+3sOsNALQ
DECECfQ5syq9J8BR71LXEPdah8MDRQ8xng0UIXbbfQknbpuEU7irkEmRC4OpAwJPvUDHk3Xe98bi
6pV0fqZ+1XnRR5WY6LtlnIBtnMqNGXRIFNpKvw1pPRxEEbUvaadbFsZg7PFS/+q0m+8ZAU3bVg/y
uZdm+GFlDp0rQCz20U2B5qAcNsWxc6shO1gwb+7KOlE7ZmgQKVSE91R1mX3ysTGvR8Pwrh2StX0C
pAMxRAO1yrELVoU7e5eJ1hCE0GxO0q0Pc/8WNDUlWu1wy0JzxULZxReGgvX3slqGMfOYZN+Ulxc7
2fV6adT4u6Jpg32F7e+d4b14Q31sbCH6letqKOdLScrg3cRc+VBYhX9FuV/eN+5oPAAgfPWiuhCM
2OtuFzWze9FmKDHmQvqTJ2dMozOcTz9gXrvoq9sEUFpmIh9ecXCeN/aAlNZpFwuHKa2LFcIQmouY
shmlVwLOEh2IpzyCcDUBrRpsGTPaznhtFQxBVlxZb5JuUHfC0jcShKrrOLfiQp4LtLmWb7rLWQb2
sBOjCaWI9OqDCWiNo7RtHGHQpz+txi5+doUmrTC2inmN8GbA9W2706n0eGKv06lGKwee5aWKu/5G
OCZuXMSCWzTW/rkOzQ8j6H5BCou+uSYJqMZUinVjOy+lDf2WeypjooTGpZfsc/NUhy9YwgmaSD9C
t/vhQ07Z4xkHSBLigbKS6Rs062DT5pW58Tz9WRcQjkCFHDO821stTfUzwgG5IooAJphvpSB9urIC
KjLZ29kN5WPeQJLMmiG7ltK9wCUrz8Wsu23RmujSzahP2vUQ60FtG1nMVD3LUb1ovkABPMMZW0Yb
azSjFnoBqwcsIFOgwEy16lWwbK6Zs8iNrNrHHEZYxshTDl19mHyaWfZsmG61sYZafMQmjDasLN5P
LfWt6+WvkD6ZT3DCOjC8d1xvhBU7LZixTHinYArnsxKLhsaq36toJhQ16E5EmmI4i5UCAVtnGz/q
QRqMU4HySB2dCRlY6sqXZJiyc86ax1rkyp1E8AzJoY3XSqR73efqVLXjkw05fGlg0WvrnXUXp/NX
y/lzDbatekLn16+TZua7Dgtrgp2Ej9lxK4SyZVPscB4zLTf8H2FkfpO4VN5F7VgPVuDla2DIV2yu
rCvnR2EiU0rmrtkqrPJ3aBWru642f3rFsOZc8IVWvYYqxFtaY1QfDr4KgSLTRWTyC++49914/zvx
QxpTRA9oSHe4FMcH5Ezho8Zqi7+LOCC9T2JxiacGf5SnWKLSj5i2QpmlAyIvlkpfRrQKt5BW0l6h
pOhWnllWty7uIIU2OKDxNTvgW5GQjHBL68bdNO782oKMXA6btSwfkGxHmMGCO1NVv5wkOtRmka9i
0Gjh0DzMOTqEmAmNbpDZqOJD59DP5mZ8HhgH01F5aI3yntNasuaFJ+57VDa4ozPOgB0SqJTb3Pk9
83GsxAlXo2c75zKFrukW8GxjlPfmhB0QF2QxYw9n+PGvwu+/Uvih8pdEo/zH49ELz7z/e+H354/+
Vfg5f9gOjgzbdwnsManw/r3yg2GDSs4WkOFd7LoW9d1fpZ/7x5LAA/LbFxiATZef4vHTxv/23y3r
D/6oZKy6jDZ/o3T+qdT7z0o/T/wTT90OJEgB7kBKT5+oRw8yz98PSb0FzqDzJj2MrY+OXgZZjDO1
iUBEm70ORh5vCrsEYaOxewS0HNnH0iwDnwlMw3PPHNwF6TCPBYYlByX6wYAoPiD27stCrERsASJL
kBZPyxOd1qW84Jqxjy0neDSdZlq/55xej32CqxLxeM4R5zeecZHnnAPAm+9l4/O4FXPIZDRtqPSG
UvpnGZv2Z6l7eSmCwuABDK4bLXpl+mpvQszS2yYzlh+xQoqRLE2mR7Nug9cOBbXJLBgf6Aolz3iL
Rid45Rwz3jRjumOYFVSoFnNF/UBCbFadKkdX/skNvIaNSchnphTg35iOGOxOUZ4s3MnxccpHSGNZ
F/AxVEC7fmWakT6QpiKfhS2dT88cx8eqMrqDRbDByzz442PJIezQWAL8iwto+BKZNZ9febSOU5cB
/brmsAMWA00i0wqaV1+pTvgGSrtC6Qr24N0Ka4H6wtL8MZu4pruicpzPKeLncOLxBhw58G6HnL9N
WBGwhDBmWtlZLiZfNxj51LgTcvjPFrlFqViq89yhxO8GYV1cZht3kLTji8WQ4uz30Gb1kIz31Po9
+TpBdiwTIDZoIpfvkyCFlE73WBjuhnXN//nbBc1FlOkNgq3g1eyWK9xPwFG5pE2DP68CEjSoEDcF
XhWUoQItfXI1YNcyeJvS5ZyHTYa2aLPw9cj043sZUoP3GI94U5GaQUeBhQIvdF+3hdMfiBePxZt2
G9va5cWMiBVH+K84hN+EWLgMXqd8uHHkcHbkn7gAQEMo5rixUwahiE5WOWqWtZKF+VzaLEBmMsuq
hR4JqJkcw92kFgDgHJr86sUh7w3vRPDaCmtkcA1QE6tNz2owdcOVDazWs/7WG0AU0SHN9CCww4ps
WHyYYmI4pia3njeo9svDfRBtRatAjA74SzdeMHKB0erzFGfuj98iS1XJqQuWHgdttETFFoAy601y
W54rRRTawUtpZSylmrVEoPO+edgm86rIwvFGVgMc/nIoWDEhvfGvcbT5K3Fhc+36ZZ1MAYzBbrlE
WBatY4Gu7x3xIy8G/IJHHzEzW3oEyX7qe0YhtlTvGlni6+8lDGif7xeJ1F213OwLm+M9dPvxNlgd
X8lgRtPjCDLzsZg5LNvwjrMdZubg1TKXKJC2UhaBz7nPguk8Ud3lEHdZAcst0eXApAEq8uVNccfF
FmwcCeO499nT+lA7qog3bufKZ5vW9yvjm95YKarNapXW9Bxy7XFzuigOtjPek30eOxTMQ1LwcQT9
h6QZuaC1QL3BfidYYBiHYYpmPd9PqG0qFJOT2CRmdhDbFNYRr27AIDSHFF27XMIW2iOKN8VZEFqm
j5a885COPqZ1j9/f0JSP2xYQ4AZNqXdAuYt6Koeq59QjiVmwbfRqrHAiMTLT0bCb4TZimuCmIAZF
441dzRY7VmGC+LlNzQiGLO2gEix0SQvMzw3no83wJTOAjsmc17EXqG6WkZubtmwZQoTyuUU+yTdY
2ONNLbKtlRln9XsmwvoQyCbah21sPnsWa97N8iHc+XGq56cmCBz7MHZskdbMBx6zjBVlBFAjGcIY
NHPEPKtTVHmYdy3ICvGpCDkopQJGLt7JjJoB+MIhT6C+NonJ1gwCmzUF1J8FPjHQJ2OxyZ1PgTQW
Di/xV891N9FXRGsIs0mTLL8qRMV6kVRhW7zF6n0IaDOuCshLl6QK5DP6d94PrF44+H2wrBxP5tWE
/kDz8mYE1TLKKBqTmB4ckUHymdZr8KoTR6Z3tur0AcITSR+/17xtMonDo8tnhmawrH+IrfLSJX3w
6jjS43OKZdsjYRRvTw9+fdwJiIf5SjcIM3MKJdbjYqBaq9oP4BvMXMi/bWkEBqGsRCTCUnJCX3fH
1G9qqEm9PeitkoZ8tF3urpxA5HTdDXy9Vo6Zernjit63XwfkmXI91o6OMUmws1YoIt09Q+r6VSZW
Wb4OUTRlbw6qd6p1e9mlcNNDY49b55P2XrBNu7q4yrgz14xXvxj+MFFWCG1Wfk0eLv7qiB04yGd5
oXXLRkYtwh3s44Wi0xDHpYwfzCmeDmw/VjGgP+o4QsCHLUFck3ka3BVQMTGseOGI6bhJgvw6p/nP
VCS553PWNZj/4Ec6lK1TcIlKwV2TdSN7LfckUkG2GLDbg+mka4wY7ldVFq8VdsVTEI4dc2Ry7EbO
IZZ+Nm3/uJiJMGqjHXkmQETd8YzxH2XpiZB7F1e5ri2KaSnbiyMseLNgv5hgRfFL4tUO1Nky/Khb
2PlmVZ8bEThrjalMeCn3AMItWRgE07fTsYk7dQfIFHbqo4gpyAkbeMO9t1OIJXeG69HdQzyTFt4t
NG1HvE1urpDBelXhEnspq4JdFbwd8fHuZrYEJD0F72Fj4rAo114DCGvl1naKp9Nk2E4VFQMWUj7O
7MzaZaXZB7i25p3oxuHkpFiA11ji6MCYpYqn3eTS6jkELEsSp5oOm4PpxcEdJdz84I8tbps04DGX
jPUhGQ3VropBvtiyr+4NAEcPhEL4J88MWb1YGlZu7IOO81NFX0/hdE8zr7vTYy/uyX6EAd0YzviZ
k+DyMnnFi516dX7OUbxc6wzlNgDRwV/bsw4w1lv9rwYlzvfYR6DeDAE+XBbZtnYYFfp60jvi/IKD
6OseHVJbbAtfIYKz7RTgqdWk90is0+me78v9Slu/JCVgCHmOJ+AakuElCFKFgMfTey8cPnqqKCdJ
ve8R0vJb7NCMktBidvg/UiIwHH1tBF+ri/F264wFluPOfDYY3kL/app7HCwzJILJYbbfFbtqMux9
GPTeWQWJvY3q5rkOOsyu2uVktG2KuqJ/EbJFUYStHcir24hzw4luiTzhkDAOTlABzQ46+1wxBljz
pWGlyWrnaXQr2u517W9B+tKhZ8dasUKyR7tONx6nTmPO5AMPAXzddl/ugAy6x1xb0zVC7GaVFogK
tEZ7f3lCoL5BIRUF3cHJuGANjfX3BuzWJlU6AEznXLuEoKS2LMWNcbcPYjpvX8zRNM5ToZAMGb7H
zw2cXb+3fU7nMjT/F3tnshw5kmXZX2mpPVygUEwq0tULg400o5E0zr6BkD5gnmd8fR/QIzrcvSoz
Ohe1y0VmSmT4QBrNoE/vu/dcY74CUVDt4qgtXmLGd8a7DjQy728jeVhY/Ox1pHbGaaN7nLwOkqO5
7Rxr2saQ4OG/Oc4bl9OXUatwBQrUNK+v62arObxtCGEP4Nhmyq7Bvoaexb3f4+FPcMdKOYiCsD30
OUGZMDA3RkuiX5R6ujytxGEC4PeGm6qs1n7RjC9MxBum65pJkL3NekqI5LX4NR78iicKT/46I42D
R0WLDGevN4ArabiY1o0xgT8ZUrEsL9i+rEqJJbTjQeLWvHatpV/6IUlxoxPgwmPj0EkQXyK0u45g
IxalvTM3PQmHRY9mF12t50WjZh2QQ/YlLF4T40LFbhc9Gz4aKUM36YYnLWkMGBZYF+1VtOjgNYJ4
vSjjDrGRa1pzonUEPvGptN30MC9aulpU9XnR17uQjY8igL21F/V9CNg4rMUPVT76odEnH4I9+I7g
hPB4Dhc1n+Ko7ohn65rIVkP4QvfvcbfodEShhRHyhep9hRWWBUHzsSwg+4GSpVUfWwSeWmorf2wX
4o9VQ8DFzb/xP1YQ2Hu4hnwsJvyPJYX/x8aCIAj7C+tjmeH82GwYH2uO4MfOI7D0Tr4CIuTUhec0
AUKKoBVtncG3smOl1/z/ScHItdatrHV59xiUD+CmVZuwDpm2IIUziNi9ydlE3Wg6XQGBGS+TgaLM
LIryVA2M5aQN/q43nfv5z2Cs5epscbE3uEAbDtfo5d//1PpLKwRpszaKWbAown0ZOJ3xeTbRtV7M
aZ5xvmaKaaTIoa+TiEk4fH+SHP6bArbfWweXr4BasuV/yAvyVSzlhz99BUNoi2I22mBvjYroBUJv
AN1IQcI4w/GhRqrFvbiLZBQGx7b053xT2o1/DvJWPLh6J85mQeTgb2rT/puXRUkQZDpju206v5em
5bLzCyCfwZ70L0P6yOm/GaOCmbTncuy1MF2zdZchX6+1Pihf/+Y1WQrgftll83osBez8hxFc/F4b
DJadZHA/85pMKVehWFQTDH5YTFnMDySciHCzj3blQ+L42kEs43dupmZ87M0KxwqKNisC8nltEO7b
5QZNkjiPvzdsbS9Dvqyv/+YL/o2vxk+P6gD+I5Wh6474/fXqVRBp+K7SPVBuLFmYGLsGaS/BDVdb
im1AXmbARUGFvWVmMl2qFq2iCrnLR8VYX7K8+oHy+8Uf8LMfQCyaz68vIYYEacrFkyAFx/CvbyvN
qrS5Y27Y1/iAuNZr9nhpkaSeGiQeVqTacv0dDMjgpnDkoey5X+TgLtKdqDmSqUsrlzsYr+w/f6l+
L97lpUJAMyn9s11h4434rfzP6XXc2nUV7lmkMaFSRVBgyVTDUDukMWn+ye8h/rrmAeIKT4xRFk1y
1ZtGf+kwB6PH94N60nWoDivzYy4WJGh24DroizAxxm6joGHmJjfODL9oPbnS+WQDlUctSZx67K4n
hMGvPy6lUTaMl25eVIB8KsdL6Edg8PuY0ppljnuL8oT31oyanawQoLkB/fOXw1gCDL/9nBzDoQkR
3cCkEvG3B1AotCqaekfbydDiGWgUlEpeuazYeM+MfPU8+NVpMlwW6jn5XTxy1Ca8RVPUzfejAp1+
H0jB7QT6V+rFIOd4vJoG/z2CSQ42H/KQNAAJE1SkouLUDV3AtmLx6XqRU/akEPqq3s9Txt9uGQni
DbBsvGp0kmY/2jr/HdT5m6COgTDL5/MfK9G33wjmkdt4y6NfDEh//MY/dWjzk61QeB3bJYEL4xx1
+08Hkv6Jkg4BD4XFG2j25eP+V1iH/4vctG5IoYCjw378U4dWn3hooWwLdGo0JZDp/4IObdj/Jazj
mKaUxAvxXMOE/53ATl6wmTMsHHuLCAexySXQS0h8YWX7EGIXFURIjxxjnW2HlvqWFaN1fTDdggja
XNVD7IWpjpWjokzGWodQkDQoYEG3rtUXgmn+zWDb0zEDfbAmBDrSf8JKCuiZ1jSbGBPGegYyWCL5
NEKjPI51P8KIzxWFoWzeacIontBv6qsprsIzn0h945CMfvQNjXulieK8qRXx3g3yanWP3jnme71i
97kG1+W8Uf8F+wlHE/urwpY2zUQlbZY4x2lxDPN95MzRN02I4Mswa9H1yO95saYCdhDILvMUZikr
MOE0Ojsq0hIpfoiAgRd/0S0nf3rscZvcgIdor2mI0nbCj2cidj5VY0Xbjxt38JMtMAnSlhYvijfi
GyRKYC+OoYzUhCoh+vWpJR/dmpdZaA7TemeE+lVO/G+TU2HF5q4KNobilTcjU2CSUtltq0mbEOuc
3elzWtzGnVvfhCg6+B90cNmsRErSRLPvJQNER4MTsPXwW19jRYX2Mzk2SBvQLzP2Aq7KAmH01BXm
S2MF7b1omhy6Qe2rdG0gTpZcPdyEGs5OPo1pQs1pJ90dUg8JiH72feCiCWlKqdPHUeTztWX1zWWp
T42JJ/jWFdV2+vdGg6BvZuLi9LeZSvN1M1BgC8361gS/UXhNYchldupeBSrvI6LTeNNj1/BIVG00
Gqs8i8A3qm+b7WQ+pldMfv5JlfS9WHprXhOBf44GEyxRoSfrye6Wcs/Av5+oQ93YmpXtBz3zdAIl
XpLE8cXvKv2m0xpn7SPDHpZekSSW7iYzsT2FAD3W/lxk0Ur1hQ9hx7e2nZ0l3znyvpBK1rbw64gs
hG0qLrzJg1UzjtWhmZcoNMnujXAtGkQZHNcYzu4K3m3k1qEpUdSBex96khY2LzMLGtwOjrYNDZLo
1uTyVTah5QUdlnDRiegqRYF/YdYLDjjMq4uVluX1xEF9hemMC6YWTuzc2Q2nJMXPsidglPO2HVaj
PRk76o8oZcmJupKS8ROvtDtrQ6qQIX1oqTkLIrMIdjaWr0A8wgoYoy1Un0FiFxazaXfrmPhq6F4w
HBKro2VRuR0BbIxV9xaZcPCmFnqDeBKA5OONbsXR0QYEe4ca5YfPozkTaO9EnMptrgrmGexqE39/
H52VOxnPipS1TtxVwKOqfcnmyMR4aL0Qr8/jw1As2nxaAPtZUU81m/mu5prZ3/dRZA73bRJ1+JqD
gNTEOZF6H78mSVvPOdbEJHeIrViN4cEipfSzJ7LFk62LguA1I0bBmRuKiJ+PVmS8PYdiIv9B0hlp
QkQj3z6uNSdYp3Huupsqk20S7AGtma9dkcOydBKF6/iV10iBmE27FmBNm0skn9xPWlIUue1j3dYL
QsFwt7rWf8hxTU5whXCwQ5nAgcIHS4ybj+Pn3yf1353UOH45Ov/xSX0d5XS2FkvN9s9FKR+/689M
rfrEjU7i6+USs+yG/1oXK+eTQZ6WJiRbl9ZiIv7rmFafwNdJLqN4gT/ytv/vmDYlIV3FwY2r1wUS
5Fj/yjHNKnSZ/X+aOXUlILEajuvAp+SwXjzOP185ZZiorEWrPeY6fYsV7nPSbetR5P4+4mJSbhJT
wjeZsJ7U2xFLPyCispXfxjF1GqALEab6DiTFOPmmgiQh4/mZnh/TfBIUfBFFa8R74BrBY4Yd1IsC
OGGAedprMjTt7TxAZNhGRYxIWoSacx0M/Euvt0dV7jTE0D1OtRx5dpz39EjcpXUr37XB9KejTscV
KDbbaE99rMz8USZ+55yauUKR61J7IBliUhb1NZ4nTJFGM3ofrVGLsDhPDcnNpJnWstYh6juye6Xl
aAjxb/XZ0t0d0f5Y1ZmDCMnP9j7w08z2JGYSYHdsFx9FSIwEvH4+U65A2vRg2vTZOyAR7m38uyRR
YMoYY/yVwpBpEzkRlyi9gpDU94axi43oARxUcmujUcZ7fom8ntjx4ZmmF2bPh74lOI9PetMK7W1M
4I9ifsxI9zWOBiOMg6CChscx6RIfnkME781sas1F6Kl13Ss2NqLtHHHolKqKYzsr1qGZ69yXjuU/
1C1XCFxgrdTWcVNa6TFtTJIhDvnQF3Y64YZAI241ot28BmW/qmBPsi8vUjQHZzGYZmByDYQHqqDw
bh/brg3Qs4My3DiRPV+qPDAJffhBVu8TAXelrSeqB9thP8UDT1LHncDhm35FYcfk+3uzyIwXTOVk
QedGmx9Uipi4aoMBKxUGWjd9imoapB4DF+C6Dgti6RTbDG2q2KIvGpPeHMJgoXhmcYpj7Q0/Xr1U
b4EBtqyUBQuOIaMqzfNs+cNm1Cl8RivGstTPF86Uj/hyyvldMHRSYRWQZaHhIkQsA3+NqWAFa4Sh
sLGAd6YzNdb16LK015yHBMZeZhmHoKuvOWeBmoCFAcJ2NqsZ9pUFcHqkUhZb/DYHrvdIDAefMjix
mr9mGwBGJNE9vQp9mLeOE/lbv6f1II2bQ1WHIca2Kj5VmaYfSotaYdrlDbiLOa1wDdymRmP4ZO0X
XdEIBiPELaKjlk7zQa/4aBqMv49qMj7nHDFeRWaHCm5gUfA0+m2ROy2GYSnjQxMN7zV3/as6MoNj
ZTsg/OZM39TltEPkwdNXdluTarsENto6WrwZQaUpNrEiDlFEw28YbF+cUcSk7gpYrBXUCQwTeK3J
PAxr1U3Bib5G+DKQiHYUEN63YCXRxcFQ9YZF4LKOxS1ffXxkNcjK1B/b8oDptvtWgnhcu6HkxeHD
tq8QxBOcX/C45nZfVNUhH6z7SqYXKFWnWfg7VXe6FxvzA00+u0JvGGiC4dKo6EAHh7F29WkTxLz6
gR16bg95r6p27oT/wdAYmq1u3JJcbSGKzA0lC+bT0giKPwW2tsjSb7hzMWiBtVvHadjdAwy7dtlA
eYq01apqLR6CkXttlqg+cQaAVmcjCdfZMO+oHM032VizEVL9wHurbETOz8PeGU0GHg8hd+/W6ZeZ
VoxVZejqCgK1c9XVEpOYL2OAMG2871ya0/lUiLsgrO4wz0Ay4Zuai/w8ErB7S5enWdL5hGBd/G5H
kkjmJTKgeRbl4gsUMZWnY6lenSp80bWGKcMYvzP6in3gNJ3XRGATUCcQ0DVfXXWESDcNj/W7lsDH
KphtdUhi9mB2fTf0LeQrzhVIntrgsFS322eeK5CoSD8D5pdtfCbJ1XsVtO2dzg9qqxdVd8bJH14k
rMPretQvM072tRlnr01ggONV3Q1dGUzYpKvGuCQ6njcXVoA8XXB0+50eb2OZSL68wnyDI82EFnI6
kJwcE4FNOG5x8yT21shm/x6B9rr8wPmJNn50tPjRCsgYExp8a2b1YgfGwehg65Y0nW6zFJRlaAxb
EA4H0Hk77qc+ryK87aWMaDe49ZfcAiBm1XOz11vjofSpkMR+XIDsIS14tKoBc6KQl06V2DLDJzsx
0HDSeaPTybjiSct9QX3GD4JUT69ysjxLS829dRu5a6J4vIz86LIVMkzl8Rh1Pyd+IF5Sy7XJ4zh8
1DQT24DTXztgT/sqYVY3WtpLK+NY2wQrq57WIPgCReglU+ruSCjPh7Bo920ZX/WRn+zaVAdmpjTS
cb225TCDn0g8hLnUVBm9TZ35hUJuUIhtobnnadbNuzAjyYcdo7pOuwjS3NAXG9ib4XtJFyHuj45W
ooozYUgfhdkjeRZwfWYO1pgkPfTK+35qzlXkZF96LtDM5y8xV9FNz/djU2uVeEjyEbtdeRA13U0m
l03DCyxrPo+WSQMWwAlqx+ZQHK3IClgqymnVdIF8hbpR4n0RSc69t6Xo2E14MvWYCm4DrW9Auteh
7bWcayR98/1UWPFaCFFuoQ12JwPPjBcBQd0DyaENW2qPJESW4xniQrHE8l0i87BZnyiqyG/0oKRV
yJxSOiTYb8XdhQC9e1BNAqaul4/mqJfvXCI0wtdZ3iVbiy0alCi2ULRFmcWEh8lKjU0PColCuFsR
OhE+4qG9NFZ+O+QaBNJEuyNT3N0kI+uaWtbbjm3iVTXbz25jpg+Y168Y7tuN4NtbG3lafebxCvZH
TP5bTJHGZrD8+iBHzdjERR/ubK5FK9ctuT2DYsfl27+qIGiAexPkDtiBPZWKNi8MF+53LnDBmnsP
3oVQpm/wX6d7Z6BCgLT6Kw5+SlTdzHlyEDXWdFTpHmJyTJqDRoGRLOoOQzBwRYlJH1g7HyJ+YDGe
F5lsCRXzQFZ8eUHdsAUmjVkn75OuAeNSef8sG4jnCqN+CkGPCDBHNkleQb9UVMMWnQl3rkq9To+w
W+HqdVil5yYPrgUJkTbh8gmcnJLrTtEnlSFo8LgNuzutku5+duzqWZvVvmin8aFv6MUT1BNHRIqS
6JS37dcqcXGim+m2UrZad7XfPQK0O9JioHDn1UA98H5t/NLmgKDXeN2CnPdCy9Bzkmixcc6ljLzC
sKpTLCghBt0ynbjoq/1QCGrCw+pLGmRL/jiNxG1Z9uKeB2SDzaSTBDPsdgjTnZkHDXsMM+HwaiBQ
Vpjvj4ENSwwDYvSkD2yHvcLFx7XSzEneZ6EU73lqEVmOSCVVc0sM3IdjoomUgaHjNTcUD8sZQyoD
cH/ldLPGRhJUlDRufC4qks8togtN8AgxGZOHF7oRHc1kuEQ2hMe6G5wtbRrBvQITUotrBi0vy/sn
KvQOtjF8LXzb3lWlM6+zthw3HfGeg0+yGc3BUuT79B0/NbwMuPtV1JfrtID2htHuc99SmGTMdMjn
JZBYKy2oIvYrzr+k2GMPoTbNR6YD2pbuZWuYUCXi/ioH7eLX8hyHsXyMTBuqBjvUIyTW4ojdHTOo
o+6nOdymiNeXOuzNnS7euzRkYIp92mgpPxAQ0iDIAUzQTEnkgbJxUHIrtwcIUNsToJwq3QPfJchW
02SIW1d4hcbGNzKpoMM/yOMEUQVXMPDYql8RJQs/D6o92Qz4W9jW2ipT5eOIV2bj6AqlA6PlgC6x
xqSerbmqULfcwtygXoouYKpOD0VhXtQAc8gO5Jc07x6LcrJuNHu+A3pNB3HLzn0cctOry3aNJRWY
YGnVoM/GflvPmvGUDuQQWvS+x7GlkMtY6DLEEoDWCkLaEkZ9HFrkBI24KE5YGR6zqhy3RcNMF1Ew
/DWpBVqmM5Mb5F2OFEOR2geI0/UfcVmdqrAzzzXkQ6+rCGVaBpn1sNnghaNwWgP/Q0/1zRg24XYm
TfZYU/IIPrELthVpyo1JFJ+h26WRUovT6yTg4TINSbZVugVVwPXf9aYO1gp6yY4SwPGumhCsVGML
D8cLU48o1Q366zkfp+5sUNKVwZvz5gZYeGjq09mI1ZUmQITONt4JZwFTOMoZTq50vhbcN1KhvdKp
8cZWe7fQ2k5cc8mBxMl2oCfbdxPqdjQN0+B3DdLiStiNfhJNXO6p9LytInmkNIHHY0jio+sjHT8Q
19veqOVOtv3OKNCaKUU/oqZzgMb6lZ64j5YTypWM5rfR6b74XfBeFAnvn0Lede01oZ7Hop/RruAB
f9Y0o/dg9RzaaKapWjonDNIvblmgbytEQw5HQitueYbOT2gq18XJNMu7eGA605pY96AegZCB0Kef
E58SnWDWbjsbSCKV0ePMkRBTLmBwElQrXSvD7eS6zaHmHfx5qsNvMhl4j/iUMoQS4R2XSAqEP7Sy
17SgcmITRSI7c2QRWBsLmTLgFbWzNsKaio7WoIkNYqSnx3aClYQyDK80aj2EodeWryzqsfsNEIxr
q6wehw6/Qw/4/8BUnRwUkIWdqXIAohNQ9EHv7G2ddw9TTSVKVagbxMD4No80Qfyi6Y5zGNlXpXTr
PeS55Kor/Glr4Wl5MCHp4TQy3rjDx9dJbnLBD/QbiqEgGTRFcJKjg8OPNqxrodugJOiQ2kkQLOuY
Jodt75gLL8Uh7Axjxsdgt+tzaa6DESdQVrH4i5o2WKNt0NIj9ZvA7PCm0Ry5gWnp39iitZfy0Xc3
6wCnGM6bE6S8Ygy11zTQ5axapwN0BOLNQ38WWcFY0YRQzRP1Wel6tKY+S2JspIZUK62cMYiS9wGp
eNOowev47AS4r3m7ZsN2AbyjDIAoHGlWpF0qPTA3HsBVxR524X67MNs2PM0pkAVFv8FuTTk5LK5J
cy8dpJ8dV2EUFznGr32iFJO0qSfXHNWcQgO3BaJ06kioDAQO3Vprg4Qh3R6Zp2G2h5VkVEdnavSV
jTl+3yTmwi8v41XSNvqRgvsW4rP8Xs3sUhHPMdSEL7TWnPFp+huwKtltXPNjLLBMYHE24GqnFFQM
ALfsImrXSeXCWzVjqmGXqo8iuw5s56lwVbNjvq68seTtjwq+zYW+Cwb0jrSl1ba0MMd1Cbx1ze0g
kUXtt7ko74guXU/UjBAq92FzyQ0qA/csQ+ZeptE3NABTM3xqc23ZeHo48lSm3GsfEi6iEh3Iuxyn
q4FPqtf5WNERWXlGYnZZMwC+9078HjnWwTWr27EtRgzGk7HmCnnkEf1U+hi6zG7ccNXinSxgn7R9
M6z4NOjnWXTGzsXhh27MoWtiw65LccENf3BJrc49wOqK/BHlS+GcP1cmBOvVMAzu1kjZ+5bGhaQG
DRwB1a2JPXDzcqEY1VwHWxLGGHVXHYoAaLNouArh4KwsM3/P20LdxQE1Fkyzu2ogg2UTkn50hXnr
zApoSikMUP76tm0sZ2VCpbc9BmVtbadQPLjgxA9syr+5ojo3s3FMXPuNbeO2TN9aQcVX634ntV5y
zUV/X3i3XpMRqwf9LOIyXs9V/71sl9pP+PBhBd+jMsGXNSUFmZDaEFWAYDpzrADJkk1dhaTU6HP1
P8dFfAugNum9hkTpSJ7NdG6yrjdIQ4Zw+MYANtnQcynvq6nmF3GSQxCH+oN7bJM348KlhP4yVKAB
M3GsddLXMYSgBTTfbVFxgiuOLAsEi4DNybKw6k5aMdc7szFS7JjAsg9RWvm3Lk814P2NqKlYscIq
dHH3QWl90DBiN9vMbbRpW2sJGGcpQqQ2mzvCxOPD6KJtjP2hMlZkWiaLsHAddFSinzrHNd+bZHSS
9uQLooV1t/of0et334rzW/at+d/LIuALwwXPubD9P7/+I9mjP/YES0n4L/+w+chd3XXf6unyDXct
v/WHI2X5lf+///IP4fzvlHipL7DHf6zEn78N/2v/RsIhjOpvv6jxP37nn0tz/ZMt2G8vOrxBcOqP
hbkDwtIizAVBk+FgkeT/UuKtT1IHyaFoJhcmiitr9j8W5qbBBt7ily9bbqAeuvxXlPjF2fWTDG8i
XfIHsSZnNw9ry/7N+sHnfQw4EuZ9snR2SxKtCHjB008vyu2PP+5nI9Dv2bCPv0ThpbIsvk/8A79q
/W3Ra6WCcLvvEmKto9MA3HJ6xysTs/2xNPqHnqOlRPL374cUlOtYUCl166OE8icnW5FhVI0DOUMg
idpVBGf5aBicJmLp5E2DCPwNU+qOcj0T5i6dU//8O/0vLyfPOCozFdYDwQ9tSen9vNVAdXGtwSbb
HufDg5E5z27UrP/5X7H8Eb98h8tfYSkDVDc/tx8GiJ++w7rWpo74RbUksh5GSz6x46RTwkDc1efq
2z//y6T7uzeI+CARFKoAseC5JkSVX78jGeB9HRG89xidqqsgyUTpFUrLCCb7Gftc89H0h4qdR1AB
7bYkU9yqShV2VSz5uO8bRv6VYwTwsKFwJQcueVAkcXlS9EYPGKHYpoEetzIqUQ6rLFSrOlYoZHEm
340YPHfftN9z02XfunSGPDEylJ4G1H8hyufyzOpIrdkmyXWnT+MTUdf6RAf2EKxQCWuKdiuVPdjY
gJ+jCVKqymp5B6vdurEouLjYmFxXvcklrQva4Nz1uYASrPx14XZ0FHJl2PbdPB8Yd6+ZaPqtzLLv
ppNeisj8glZ2R4FMRvu7m12V+giKlF21ymJW/BZ/ZsZSao0rgdKCBYtf5zhRmnj4VoeqOjhxeFNO
7LwiVbAqNrJuMxSDfR6RL8hs2/6VEcgnRxP0boRkyKsGeTXq+28SOe9hzBs8CiKOIQ1UwUNrm6mH
q8EDOQVUomDfPg5+v5+j1N/E+hhe582Swma08F1WJ1ag28mGdmZIlcEwBerQMg/gW4MQ/1A5+PBC
TC0e6Sbc6lSEsqYr4ZfSSlnX9qMJ/fk5TPr6hogGf447jsZDIZL+mNZRt9clSWLAEW3GT9WibzSr
6usCWunGIFa+zQZEPyiO8S1tsJMXE8PcELIwtn2U6k+YL+gj6auRiSQyuldKK9khePokThoA84eI
giawb4VY+WSS1mFlo7kNkVCHGfrOCaBBfVfO9DFndXPy2XC9VrPbPpgIFHtmAXEtRmnvs5z3Aidq
tO3afNzlmXwNk9pikI24SMaOHPcmQZM73Q7inSYhXsyBVtx2GL2Nppuug7EosZiXqb7FMUSE3rYA
8EU2XkuBe3lXK7M7Rv5Avn0O7dvIaba+L0m1+y3WcCWCz3GXhAi+1vPYB1dm5ldMRcNdOSWPaDrQ
z0Gn7UzUj2MLVR34IG44otzDneYPYmfISN8LvUz3FDfBxCQycpwwY6QrPbCKm2zi3OAdbdjuSuNy
cke6c3prtIJeCz40p56OsSOtS8ZOjtjzbVA1OXcCElEA4Zx1pVf8bQFkDz4vmiaRmkY2RMRCrkbN
9V9pgKML1A0UFQT+cBxpZPecoqNPGnP0rulprc2STFsZJrxCiH6jl1kJ3dx2OlBfFIoTjgh368f2
EjaC1p4lUb62nZDiSfmsxMyupG31SwSyZm8A1GFBeMLXGtzjhQHF5/BKc9e9gmLReb2fgHw0UfMh
oSXcbgQC7xxfa03FpbWC455X89cocNmmhXoyrVw/6A++hhlJaPodd/xtOxYBPbd0ABeqHOCa8scG
vl091tiX6DVtBm1dVnWx7YxCvjU90IICUs6mGbdVGcgHyyqVl5MXyw+50ze3nVbKN57b7gFjp0QT
ootg7ENjE4YM90zI5Xz206Q1uAeX02Mh3PTEA2k+iFENq9KwXutiYI+mXG01uD4A2NJn3NfDU+BS
B8IBwO5O71vMIpiI00zk5yZzD2lvPC551RU8EG5xbn1lUt3BTk3z1z7FYdeBn3zzYcx5FNhsnI7Y
c6eb5Tvup/6mNBmhV/jL3TWPBPsmmuLxpGxKZ+zMqCnAjJJ1MczDSzEOdN1gnuNJAkka1IDNBwid
YIy/q1hLnwU0CjrDZ/NOzrG9limAK5FmELnIa0uaOMN2Y+e8v8Roj1+zbNJukgpOLyYtL6md+MkK
aTWbVISOVNXp4gsYTS82eXqAIU53VMOap1RGQ4UuRZ9u1rjaHjnG5h7jfHGAU7erxR++rnwr5pLj
Og9pM4pdjjK2qQ1o+k4/RdTCmlwJbUULVFSQMR07gFqtZd3YkUj2oRYEn11rkwURbJwp5OXvw/FR
8ORaG6ZyAQZN6YN0A+GRrccWroHFvTcre2MPWfbcAtz5PPZ2eLZre35ucrnGUsbymgRNfe5E2aJz
xrzzWL7vgRnXWIl4k3F4QjZt6CYF4rO1CRkeOB8HOLzAQVQ1Fo595AI0GfjY0qb7MVf8227zd0O+
Cfvup6louUb8cT1Y7in/+R839Teyhr9M9z9+yx/TPS7TT7imMbRQn47Xfclv/DHhC8P8ZNkSii0+
HFfnV/014duf8Mmi7yuHQZXrK0PznxO++KQUrHmH6AEsPVtX/8qEj+fq14kR4xpkQAeoGe5bQBDG
b1abpOnmZABzfBsniv0YV0YdYbkOEvtG+aVp3pl2VTc7TmgoTr6vgEVwzY1sL/H7YhjPFZALYuUJ
NeVNG2EJu0Aw1tLx2XJ7LdE9m0GPi3Ce7IMZ0fy2TSv9a6ZDCx1WTpMDQqcBg7YQAzMunrQiNBK3
3xWKWp+MCpWrLM7Fdxnk5KtBKbnvmkHSlBamAP+CWa0K+DQekcP0YmE/3QVzMa+lSvUbksNF7+XS
BppVkWsGtZSW1N9STKQ9Orr27o60+GXLiMdmxTnbIQ3kqJ4xoWMAvk5vdZ8HInsUYZB2X9W5HV5q
x03g3hfjdMvg5yu6Z4as3siS73jldjP9pE2VlpR5heGxwgwL3yfw8IzY7xG76ceGT318tjCKrEFM
ODdRrTMSTtEIzSplu+K1TrislNWoUPR1gt73jtUubS6cBS+0G7NWZIbraBXwg3vHlL5aUcfKwmni
yz9Eth8e52Ekp4ZSamF2HPUD5XX9RmHzyD2dKJnYOoTESIpGsnye6pEAZ1DFjec6fXalNTkUDs1y
S3p5/Nm9cZPBoeMnXei68Rwhejlo61STWk1Tfwgyr203VcwwNe8ssG59Nq7pHBrXEYGrTaOTgciw
TH0HfW5uwiBK9pTsdtshoADVqqJu3RWhc1fNJuHdnKDV2pja4g5QIxbogs2yTj3QnWapYZP3mX3l
mzQhrOrasr8OpSJ7wYfm7BgCqSmc4G8nq2BSrthWuVae8NsS5tTzTnfKKx7pg1t6ygL04bIuoA/R
y/owL29NMEDFYUbsMVc6zCcg0KyelqgaDp0TluacPB85ZNdd2vhYVFG9yat31zXYTFaz6J37DDwW
EAUNg9hTWvcOl4OigR0cKm7MSNDcAjAXQGa3DTi+V3Hh1+rEOBh+zSpnwrycOokDSH/KtFMP34f+
LHcszo2GgQSMd3i0/Xx4M7JFZ0qaodtMJU1hhzGY8M82H40mWmrrIVamFJSv0k02lq2YWuENjKYU
4OIa2+ZBFN0yNwl2a1XPLrSo/YxPtu+y2ZDlhO5JAySTWkkdRH+a56irsG6COywwdlIp12e98PRc
q+dVrOUqgC9JEt2rCWs61+OcDVRuW/quJr+7DgMZYAIVptZ7sVMS9dWc6KwVRdpvAapTS2UhgJNn
S93hxQAHt2vVWDHs6s0FA1I835F+/cKiNOczpVFD5blWDDG+LbDwb9sqzNptQCnoy+gvc59LfPVh
nkGj7UzKFnJsNiakicWW1O55Ek2cv2osDoZlk1uJ0tSwdzQwGtShLxQLWZT1d7h8j1ZnLwWVVjPf
94nRl/sBz2+BL20a126p0Wvwf9k7r+W4kazdPhE6Egl/ecqzSBatRHODoBy8BxLm6f+Vpda0zIz6
7xNxLk7EhG5FFqsKQGbu/e21uk5cL2Eq72yGkUqK1gGU/BQC8soZREn2rEn3y2T5R3rxM5is0Zim
q8kcq0uPyaFlwytle98Pu21uRqFBLy83kYORTt/IxbbujHoWnCSHON+4QSovK5e+leWnTLYZiWZP
2EgDH+vFTjYM64MMxOwdpR/Q8qZvqeiNd+gv1EsnJtVukZDa3Gv2pDZGuljbwnSN/qKNImgkDKB2
WzfuovaS/2DTazL0VD7DGICjV67P5NzR7sBU4re3PacWq5SkAbO/MBPRbyC3XjluGxF7UrWC5t9a
FXopkMSUJp1isK+rsh58eNBh/mjOHFahozwxGudSeDkjMAK0PAfXH707l3gcynaGm3sZc/YNmKcH
FcKcPGePEOj9xAgUbgL7lBeEd1YFUgzzegTSj+BtIRbjN5X13PTTM8gPJtd7YHZUyJMwZ9RIib4j
QJlOw3VB3fW0zGaHh6SiL1mxfkV35qRCFHepTUhthqmHHhkWgM3RKDwyZT76J9vPzN15k/Df/dTf
7Kfws7KV+c810//TJgTDfsguf/2Rb9spEQAlpnQHTfhr7fOv7ZRp/0E5iii+Z/4p9vk2YWR5fwj9
U98qqd9tpywTPha1TX4dwwCB6f+T3ZSUP1UYReAzYmnq2SeBI5fhxh8LYjzOOy5ud7wyk5oGvWbC
9qDfmVVzK3GJkNXnfsIV2S/DPgPiVoin3mcHtc2Yv+woCto9xTHTtwQXf5u2NeFPvClN7T+gda87
l743aFhzWNcjQuudbZEDBKIczBxSxxGtDs4vWaiLdsiLjoMUY+9lX1+X+Uy7Dtsx+N7Ar8srJ0yn
Y2VwVrzAHTgzZxGGuDWampkK99noKrUfK+VRW5kQmzhpfXUmXYInGnR+NZOPMXdZuU7igZ5tUGj+
k9/CDaEQCFAop3FarUj7TPdLpsCt1BJld9l36joRMVgWGfcMB7VKE4MYHxf5vpxUvueplfsbUAYJ
Z8uo8U6ALxQtHLir+8Zg+VjxeOr3NHDYBRnsM5F729mhDttxly4toxCeUfKLSzsFz1CoUN0Q5kSh
Os7m/ejGJVvLHqd33DFOv4rqWU7rLpoXhrgoR6ZOo5771p7fMw/jues2avCBTZU/Uappyd1QsBCD
fA7Rll2NjpnvO+nqSQ7a9m5UN+aKpgyonorZfM/2xq1wLeY6kmx0Ltyw895zKJ6uZD/SR0xSu+kx
y7QCUhWX+sawQP/e4cUGQmCUDP70OUagypkWpj21NqBLUwOGcKFo7dMMqjZisB38IKo4NFWIDjNS
A605GnTEkFOiCZFUhNNkzzhXG9V47UxUD1+8MBFvi2OSRXa4G6nqJDh7YOS/FWYAWDloC3wJ1VQ/
mCXKACKU+XNFU30VCgUcAcxIf2BSJxIb2dIBK2YYSsywbdu48si1xSxrrPuTqbZRlCMPV9G0jb02
uJmchqRt2OICbuyIoA9uwFVlFdmDm1sa2x8P+ScBSvOiZ3296AuPSU/g+q/cDa3CXWUGH0K2IITd
ul5l+6hv5CPT8cPFqLc3Mie/twpYJx58W30UIy1DNWPOA3xDiJs7ILmoyOmynkWsErSyffOqcHP7
mMWO/+JzdturLmbHxupvUoxVkkknWRjWpgubR4J/7anxxfIh7wvG6Zpofg8RvDiES8gtaLAxT0lO
ssqq2uhu5moqT40Dn4DcYgqKRRJ2XDMWx6gevLl3LhXx1WgElIXgjT/1TV6Qp+9DUsN2Ldcdfd+9
Yvyrr3yuQy9kgSZsLe7o9w1r0MNWQFwaxQlPFsxRhGrJ8gxOX99QfAl2LM/5Z6pO80UTdNV64iC1
UtMcMLTTfwSNY2+smdEvB7nGAZt0sK5s+TaN8xP4CQc5VBSwjVeUyCmaWRQvodPUTVwP7i1zf3A3
x1XmMHXW/r9pEl4nH9uqq770P7YFz62+v3qG/x+1Ei0e579dFh8Zv/3cdZ9p0Hw+dzgvPmlI4/mn
vg31mH9wM3iwGmw9f/OtyBCIP+g0WZ4GL7LEnUdy/+I/conT1aOFYzOAr/tRfxYZLPuPgGWH8gML
GqZEBmW/NVL/7Oj9jv/IPP+PRQbwFUigWMiFaVGwYHn8cVn05tYy4tEpL7DodCZXNijwVG0R/4xy
1RcAt4k6eXK86jUopeiaeWNqeApANu/QFDZhWCckqYm/wDx1NJ0eIdVmW1dDWKLIpXtBIpGCnDs9
E3FvGgY0Hest0AgXqWEuQ+DAd9eAFy/0Pg1lDfLFgkLmQAreuBoIY2o0DNiTAd6cEIS2LMgxSzB1
O+44qG6lz6xqynnDrhsfJGRXXOBjgpCUuLuh87yN6JVYqzSJbkwNrCnnJH+UsQXFRnU2M5NUZqrn
2MRRLZWxHKkUa2o3UM4PnL8g4kxnOk7B5vy6auf+XZb2/tWULuJ+GFu5KXPvTg1mcC1YpDd+QQky
J+XG2pnRyPEGZhASoLthKto9j4vyMCY2JVMgPlVdeRctOM2da1DiXgZl3pRecIzKbONUU3ZL1Z5Z
UziDK3Me/W3OEZWgDeAggvvldmxssWYi0cYmOHUXQ7cYiDoXmPlZbBzzjpAzfVuOlJwwNkTAqmsg
dcwpk6ChtDKOwyNbIcA6sCmuopClxSZIu5M8Vvit3XJXa5OblxiwhQf56E6AkmYGCLfdiKmYNHuH
op2p5BHC1c5lWdoYNbglW4OXBpZ4KIWvoki6vVmDXx5URNtCMlmkfFSBaRq6nzjLZ/M1EP30OmKs
lmN2DfNpmsA/+UWuNgluiQNomnbXuMDjZ8E0tu84gB80RApoVPDBb8vxC52wYLeIEhpYQ556y31D
cWweu/xqTut38WCm7zi1z28GllaORYsjrg2Sdpe+AVWxouQFYyuA21TTb1gh5aONpkFYoUZiWRqO
lUPJis+8LMOym4M/VNndVDU4dKjh3MiiDS7tBuXgqoYkgo3GNArvMBhDQtyD0LdaAX+C1LVoaBeb
s1165ngtU2vtYg33kmfOV6ORX2DLmIZeAkbcsG4QHc4lPVNrXJTcgDH0NuCok9Ukl+LWMJwDgBAC
jkiSr1tXvlV544VXTLhM8WVt5k9u0nr3IEH3oeGbBrM7gx3Kfd5D/vYot49l8HGxwQduo3BebhY1
dbfdIP3iY1BaoKbtkv2a3w/vnHqybltcPwCy88x7tMMu3RJFAYuUl8FxrDypJVodfbaaUghgQaNI
xzV0iuhQoy5u38l8tFE+OYyFk6lC7Fh5R3qbJGKo9KVS3PCg5HMvVL3sQjct2bzRDRUvS9yMPdZq
IzqR+KQzz1lCNu22c2bzrpyCIfyU6kgwAIxgxROOWJBt2FsBrZor18nI5hYDzd2WrSDtHIg9K4H2
7IOH2tk4+KUSFUqwnA0kreMh26ihZb+skdD29UhL+X0x185bZnKyWVV0M6MLDFSCPU8DVajsPfvT
zMBjtodSQE3CmxuUCMpIAoYi8G0E29LJeMklj3S9TUM5LAqhZJC7nMggNqlkz7OPVyScTpNJBh11
BNoXqbVSGCWrG4bfZEXMamhiq78ERueITUUwg2Dw5EVbEZfuDS2LaefYGhwqckWYzeEzXrvwFR/z
0ZeMewAJIyvXAulaimDcpxyPrvFjNRdZEnDf4+ncOFmu09aD5e0JQcZ7emL+vorb7LaU+dUSUUfH
hO1UV1Ose8N17e2qsbdjAtxEE6k1JKC4hpIzSJ+68ujDYmPwONX3Kgw3M3KTbQu1zNgJAF0PKLsY
y5ds59YW28GVa5TlyQO8fe8rzz0BeFAvTgpvGNlEcDnDGyKOTQAZAGvEGQN4Kym2IRerolvmj83c
fGCNak8QbdzdCNhnnZDB9VdSNOIhYtJrN4mUvK0ddXc2BQQWhzKnS+N1N1XvG7ucqNVRlSL8iJrK
uZ1Dc9N5bnTBozM8FPyq58wzkw3NNv9FmbR0sMUyDMKpZLr0Fm+5ZjLXX4GbQ8+G8BusuwXVv6nU
yY6mHYcGezX1gsRbb8XU5FNl2VsMcMsthSSQEVmw77DHv1u8qr+YXTUA0imXPScKh+quyX6QQUe1
HvMqvvFsznybdpJE2i0e8YCinU3dAscceX24Lpw8pJkAYpRhfEvFaISOEGdbm+Dc3uUN7GqIprDY
Rjvm0bjYzxZ0RdZCJ6jfOAT316a3mJ8VXdOdg1FwmxEgOLhdYz1hiK23MiCbWtPr3qUJxPkWW+Ip
E2PzHp1ncw18pr0Fjhlc4bkq13Dk0yuQ/BwRrVidMtqla0fm7iFf1CuSt+RqtuP4ieEcQXDZBM+c
di47gWIBP+HT964KS5y6iZriOuHOv3VSb2LWym3ffK8kW+FmG/SC/V3bOZMe4PXdi4KQHHXqeLk0
06z6MHYRBreJCcWMVvtFLKKnkJYB7GZ0DDnygpVhzNYWBVLrr4RpPE9lKLYo4+trJ0nEpWV0SU5h
K6LTT6JggxcTPftk9u8MSaRxQ7EZbYwNDTQwRlIxanKBkDjCWxPQZjqvjCQhkMKXngtVyjUjfpsY
fUiu3NSt6jcEbZw3OfnsKcDhckzGOsjq1jJozV0F+M17sMD1RSx5UUEm77HDDZ/c/bfq9b8DvZs6
a/afy146Knj9eUo+Vt9v8Ll99Y/9q/Rl6SqW64C/E+4PU/umroo5bK2Z8ncCbfj6VyfxXPoiDBj4
ZLxoGiLx+tcmX5e+gF0Bd6PNKDk5/JNNvvNTuo1tPS/v0MvkxiPMZ//USGwooC4jELOrlpzp/GZj
e++ow3g96yRgvJKMx0gcZj4kALMK40IjL5yWjoxXHmCxij3rx/yptaKB07SgWjGls1ouJ1bxz/T6
PWTLQAuXBpJrRDuLMbAcKPcDBLoFAwj5Fwbnuk+5p32yYmYs29lmtPPi4EYkRs/uuWLna21rt2eI
+MEqmTVfuyMToy+5NeYJO2Obe21NGUOUxTHxtU3X9wiq8Hyc4WZGC/TF+Mr9Wo1DqbHoyWxxLtWZ
X+t26bmI13GyMrc+y18unpKvtb7ya+WvExhZL6FJZ8SrRfMxZsnceU093/K8KrmZ5zHlR93ZWF7r
kjXs+r834P/mBjSB3nG9/ucbkGJBG/2ItvrzZ74drwVGBEwI9tc7xdYehT/7+L7zB1s+DtGeB1PJ
oxH4193HQfzbkZqDOOwMHXNlUWL7+E9uNurTP52oOZnDzELO4FJmpmvFC32fJQ1kVZL+gedHzuSF
JtW06rus2rqeeKaA+9Aq41CKoXn2CxNT9WiCS5133aSOxEp8ZowwQFvofi460pir0qRAGQxZvm9n
QenSQPvRq6D9MofKRcPJPErlM4lkRHn9KhxX3BsS5M5i9AMZHmb1aj9JdiE5n+0QefcpZebbkanM
zO8h+4/MQ/QKdSsuGpRchpSbebTbo+ixX6niZu4kZUym8FZpPmmaxHLnAELcVB4j3BxJh0fJThcD
8BRe4IWrV3jR78bFcvbMwjxB9KG4No753gMHft0LZFEpB5m1EGVya7odHE/DbW4JWW/tJH8/TPNq
YDVf0bZGE+ept4qTGyVYNW5au54+JHQ2L7ORGSMrWCrOWo27d7oR9oDdevuxnDsinfm0zS3rU59O
FuMVIG6SzLU5rg5vUs2Mf/TqyFxJgVOTYnhKc3m/9CUeOC9Ywagq74um2/X5vFsq4yaka7sdjGY6
1BYZr8mrzPuglvlzr5z6yVHpjt303WL2xX1Gi+MqyX3i+WSXOOthxL1uaysatwD4xLohQvk8LFVy
xwy6fWF1SMwtCFKU7yLVAiUwwgfJU/wSxOPCnqRw2kPENvgqjOvkhH9yfA4DiItwzYL3U2Exx1zR
Ed64ledfxSooOJZj02uG3L/zRgKMJTSViIF95Rx6y69fPM7lLg1flb8vCY1fOjmiLMG4yMkuF8Ho
PAM4xCIgLF55jfQ3dWKZfHgB6Q/Ol01DwbUuj20XcuRfeBAfNSSyWTVoZRsC23o+DHRxchI9uayZ
lY16t5e+etRU3A2hCI7lEs1CKvPqwUfKsZ2KBEFgVmHiwSR5eeZF0iVMX+taw8o5byTRLmHmYlek
Btx8gV1hdqA2DYCQSmKS9rTtEhxfC0mPA6hcHdJL1Lxp2Vi+NbRg38+Y4T+0A4xKw6KrChG751Nt
K/5PrLSNYzDWFF91o0NwNANkXh4ZjkSoJfEfbESJrECyYXvvDOGcHZxO8eYbJmvuPVhzyYrBS6D7
1D4uIWMykmPNfA9ETviFZk9pl0ZRUm5nVcwbihr1S8z9t0/cgI97mgYf5lfCaglMLH9fm0gS58bu
PiXNovbmYNWfnanF/DhU9c35L0vDtPbJNZv8+lxK7y5aYg46Tovw0Apj/87Wm0gylcWXHOH5sXSY
k+tSe1xX7uy6OOF4471VzPcz9eh33kQmOocrJy8cxUNk41vVzHB1p/YpA1av5ystdZg3XHH6o6lj
zhJt5wQ5nsA5qrtazw3HKAgASDb5e0gF8onZ9KTa9oXt3bUOMoJKKyfMaWRMse0lBP7Bsw+14ktl
NLs8GoAXOPWGY73Lx6L/RMoG172o3BumMmaCOqa8Dzm53Y+NUWwZZaZVRWkkfA1k26xGp0CXXIbg
Zgzl84po57JdHsXGQ7U0KIPdtHpoogZlW44x4PxtFWNBZSDSUP4uC8t+bfbKX1faqTRru5JJYzmk
yZ4zOeZG/PqBmPXayxn9WiA/rxKfhgR9KGZVtbUpXU7ohk+qmcmPdo+qobemnOqV9BS7dWBbgX8t
++EGveNtDBOPqd74UKTtFwdnVMDQ7apnvraU3v3UYbRkDh+a3ntm3wnhaOmUq/VTdciGCR+VrOdq
7WtFFWlkbFXSqjgpJqZ7b+Oy6rTUyoUXtMm06MqloQLsjYHgpJhPCb3CcUrpl1RHS2uyzB5hljlJ
mDpVxADcqKVabpWlFEyUTYyF+SiP+OxBKTRcPYVYcL24ucoIjBCurkZLuxqt70oXRF6lROll4fZq
cXyVvnNHlxhEjhqsG6bswxcjks+EZj7iSITao2VhCLOB2cwIxAytEkvPVjHZMuVau271MLBfXhOF
WT4VeMikFpI5Wk1W4ygr06E+Bl62t5jnXgN/4AvWSrOpGcJVqjVnnLPeuVp85pHYz7QKTaDZPYxa
jyb8od5OWpkGSOBYa4ka3cuXhp7daiorcQU73Du2XPh7cNSCbhMeM7No1gZmtsGcvwBav6+1sg2S
OMQhgrOvnotxzMyyx56R4LcZ7MSWe500vcU4sBhKVCtaCmcHIcE4tQC8mLQ0LiL6Qc+WBOJ6QVMX
hA9N0X2KtWpOlP58ms7+Oevsoit7iZeu1Io6SoHlFQl+Qj3o67is6BJqpZ2l5XYwNvDcFQDqmQ3K
OK9SOaD5iRCPkexsC9bmYi7QG1p1/QYGSJK97gKG2tSz0Go94COM4ZP/3xvu8JHW/QuFp73QQr7R
RM1nUdVeOdaY0ZhyjGuoU+8w6xIm5DZcpVrv56esw5hxN70p/CsE4dGWTYL/iaiKuve0IZAkjt5D
UMmHFoRBcDzLBBV112kdqfRd6g3Zyu4wDnbaPdi30IbofXqcpTtGPBTzHKzp4w4i15EanbUFIS9O
oLGqO6jG0wbaDTsryyAOWbf+qVb1+FqKOX8dtTzR1RpFhx3WqqUUi7xEWxaLPgE3Fmv5IgYoPIyu
VjKqs52xO5saCde5J/CXw86PGkoHPU7H3kXu6Jp4XjJLMuCMGVNgsEMKqbJ0uPIcaBQDaDRoZdhp
kMYsI8vgNFSnip7Q0dbayVALKMOvKkqklOPZT7mcXZV9UBonWFnOBTuFbG+KqtkmE71nqoAVoT0U
mmUh5Y2p1Zpjm4y45b3myW0AsDGRSQNmCeL16I3dxrDrBJsFEzFa2Vko5J1CazyZ6GwOlVZ71lry
yQw4us8E8ScU92Y/2/kHr2Pqt9N60Mw1EIVqZWiOt2rfSDSigxaKsme4nirw2szHRzJy1zne0fRs
IE1LRYp+bNr1ogWliVaVFjYU0KrNbIyOyzVi43kPUpFlQEtOnbxTt4sWn2YKmWnlIkOdxyZ/IAo5
Hnw8VC9WH5xMLU8FbcQGxJ37XQAQejdox6phAfVosWTB58DAKiztYvWB+IOuprkCtb+GMEWEc3Te
W/W0J8AUbTpreZhdyztNiY5t+T7O19LcuyMZuhwWSaWq6DMuCTr/LHmqqSDSaHvsJKbpmGijLHWr
8GJswqskau5tsBkbL/TTi3lxp8sw9cExaUpmZm4hRGF05ulqXnqD4SZqi10jp/GWFWMa3Vlu2my4
hTsGoXjDNlEIRjkiloSoofmVBSKai7U35jPpB/a/y5XDViVbp1GROdu5S4mB+XoE2hmyKc3BtQxD
tSncBP5CF6l4/hhn/qjsFej+Sh5YDZ+mwr7T2dVdUQZMUNjD+MAcwLI156U7RalDs0Y59nXvLM/N
YiXbpXbvmX0y1unS9/dxUMpNTknypvFq50NHmwWgVrl8MDuzvx4LIA2JqT630Swhzkh17StlbeAL
2qiUOf2QLehugzGXVyP8lfuIrcpWhmQaZ8N7ZfoxZORoSN/GnsxiYrQ2leYwPBZG4q6iVIh11hCf
JT3DNH/txyyVNVGV3k72wLQeA6OfVk5mXy4WG+08Tz9RJcaRjPLu5NIPyCv7Y5xjrQ37JDjO0QIc
lvFeNv3R3PYfiABj5Mqc9Gocy459fGcfLDdxLhh1exBqCMSqYS9jbDLVZxfLEtI9WuinXNlJa9zV
qMeeQGzl111cfOQAGhXbSjYDArt+cS4RzlQbkCwfm6Jg1Tea4hO+Sf3MCvt+N5QJ2A5TtC9sX9wt
s5Ag2MOAZp5l3ltJ6twwoxYxjSFz6yjsoNl488KdNpQIlIdxuGxqq7xackWytpn7/CYrGzzAiM3j
D2WD/oR+ZDLtCjNmKRBB62HGTUCqYYoL/E9AInhwqMgx75mr8p/61qtfFqsoPyzUYLCmh0S1eeST
B1wPYiwfGR2vtpBI/cuw6qtdx4Nx65sLcu8Q3uPIIatKluyURMP4YvZEAN3Gs6CiA4VdtyQxYFfw
4jdNxKYkrXxo68jn+0dLihaTU1815WJh8WI2FEvmlNAMo+7b9aRnmk59ibuiOHhWnxzaZqwPk1F+
ziZAbN0c0uWyuqusHUi6R61/7xZC3TLXDAsqBcmajQ272xRmlRNVyMJDC0ht4IdH/rB3HPzCjYex
emekelDHBVzx31jF1xTE34QNJbhxKqH/uepDkCROorcfxze+/tC3so/8g5oqx/JvhVXqsX+WfUhW
2AQTqHRyRmGM4vvxDf8Pk4ltPcBBURaO6l/JCpuYBlUbJp1tkxIOVch/UgcyfxrAxSkMcpDAB2h0
YdvM/P5YBsLoNhEd6kwmMG1FsllRvJ8OLQfYfRiL0gWgFrMRu0q1t/1dMpX2xQQpuW5XTMqii0xU
KU163qmleIal7hlLehZVfLVEBiFhoFVTdoyAfPdJ/xkS+X7sW/9l300qS6ppts6FeOyJ6ab//Jf7
3TCiP1/aS8J/HN5iHHiOljnMyhOn0dB6vN+/IGGXX16SCp7J+YohbEyarq5gfzccbSS5VRtDFV26
Lg7DHvjeOlcM8NCpZECZda8xmoPZivolGIGqT5BwALIcAndQ4c6JdBA8JKmQrBbl8alAPh6WveQp
dOsjqLSQxWEzjC3bfCSX3S8k0UtgUJ1J3DFKSvrzZhbSoG3aRiuceIpSCRlJKl4aLurCfAHjziiD
8wY4DgFGSoKCAkUcYkAg0YH2AJYa/eGROjnQF76RZl303TDsQoAP17ObyEew6lwEo4XgrrUKLIK2
gcdm6RE9tj5TZmv0lTgXxkT7H4HFTNouhnviLPowTUzTK6ZReW9dy9wqwO3pNnK1anKSiQ8izJGQ
dKC0LQQTZRMDWir4i4LZsdiEmAzBtYz08kxsDGk+SsDT3aWsbE+emDFijXa92a2fpQWm+9jTTHvz
og5hhCH1pn0ho/JoEGmfnmrfnIxXS/Z8cl/D4kyFkN5va7/QaqeMHwpdaPmrHMRGtMLOzl8nU0UQ
b1q0q9RgLDm+Ddk0uYw5lDo2f1Zx4CJ33tJRex5nSlxf+/DBCOZvQ7LiLnYHfrUgf8RxYrb5Fly7
77vneCTlfrAXURAaqTIkQE5i8bEkRk59b3L6hq0dHXf0g9KR5iVbYtSETBDLR09/OEGTZHx/NUq4
oDGQkCZwtyj3Q/a7jqNxuTN8uC+rdOLmtSLb9Dc4WcHqde3MlpUpSd5k61IP5Vwi860damK301C3
lOM0P7rAj05MyUygfNIQpdriDNVblAL/nOfIfW8oYlOjqvNbDlbRmxxtBBsGLfV1gs36rYwy9VRb
AoWnuXDJxqOYbhWtEX8dp4wsrvECZPNRTi4MX4ch8PcUVLv+TiYLVTdHYYpbqdbj8kKp57Y3ooc8
sAOvD6aQM2JjmVRbbdZb2EJckfLjWEx8d0wg2eOXOZ0HDLO1XaRfah30TwqKZF/FtFXENdLJkrZM
rMWLs9TfPFPKBKsZddY9oHFBTUpHu37hk+Hm8tKSmzKrK5ySHYip7vns1AHKwI3AjDgfcCJrpj+y
HO+nw5G/JofRUbBTuMR2hAGmWybmmsMQL2R1LbiJWqtHmho5Tkbj1ORuC7ZUEPlcOFsy6grppcJf
m8n2kYaTYbw3Bm9piLK1Rns7M7Yb7vIZL8A7JmTmAFicKLL7UKXtYSqMlqOgsqyLRdnavHmWnLQ9
wPf1JEYyHUFwlv8Kio+MMyBnBMXP3VM3HqbI84WcwYaCoGZoO5Sr9E1BgplvhFlcnqFfJb6DgW/B
N/3YfZ5y0EQ3aRjwoGBENas+etaIB9b1mZfx84LXNDJsBwciem362prtiBTBgYDwyQr9PntqeUIw
Rz2Fi9PeVEVZMkc+RaBZt14eGSS7M5PfJLicjl3j8Z33eYuilSb/9OQPYZN9drxSgvogEsS2i60S
h8uC9WdpOJylZ2wf4SCCMJUraKVLi0Q8IkxacEYSiddkIpaRMLQN6VAEz44awnW1mA8eQWPcbUU1
vJux6W0hQcXADmrApkMUXzBrHG6sMEyyVZGocWVa5ozBwyucg9GNJPYrO8VT+hTF9gD7sHZcYiVV
rbeWeV1dELAV7zuO12urEK8GQZRVXzLsnc2Aj5N4nPyDmcnoQ04x4fMUARUpSVfc9LmL0KZt5i2D
vBMkKC96dSwFdpdFCmlXZ937TVi+mnZMKK4UUbj2lsIhPeS1twFqzTVKn8ZaySXLr5M6yt/JFMt7
ILp+R/uF2Wo1TeuyjZatKkZKuPlSXDm2GrbD6OV3+Jvq1xSS5YOy89vRE1O6ZzOLVX5uIAGnFXyx
pEoeos7N34H9I28BtrS8CljANnnWLMfcCLIdSTeiGw3HE078Ho89ZVWPLDr1c+kUdUyDoyt3MDWr
p9h19UdbJAEZdQd1N+Tm6QSr0lpFiSo25Dm7L8TF0LkONraPJY0g30kJgbfzADYIp5xXjKjFODOo
0l02XVHt/byZtTrIqi68eJI7Tgx3MBTrPegKzCu8x+c0Y1SCVQroeUmuRm3nwhtOTW+HDwFZsb1B
oHrnGIG7NpA6+7uZUvXJiPvmkgf2fBBlOV9A/4IT0WcjJ9y2XfcE49bNMKeHuOzcRwWX+xPJp/Qy
8IPlsi1bQJW/36H8spnTU738ox0PTf+XlGxDDMVPmeenO1ADKWdyai1GmuU0vFoAcYJaKJqS9vD7
V/2pb89GzPMcmpKI1Ew8Tz/zd2wYFB7Z3OAI/7F+SeyEB0PdS/YYv38d3ZH8ccPneWR4XbbLkiOV
7sd+v/tSceUOXcBQlZ3pHYYnWp7ZWq/rnIXe//zFPLopfJwI7n+RVpncw0bEJvDoawct1lobp6qb
r88Wrt+/1K8bWbqz9CLYiwuT/fzPW/Ao8GpjEu7RcmfzVA5svSm752s0LnRs8Gv+zVXyb15PexnI
AsKEsinb/vg5mhxhqzLH5bFMcfj+6xJUQq9I1sy2shsBaM7H+/v3qPPZP353vDlIVCwq2kP482Z9
LiK7D9reBktasrvyziJ2HqiswOUkWQNB17EeMU6k0Q9GyvLx+z/g14uUCSmHz5kmu5SO+OlNM+rQ
CHQ87hGxSXtg0Mm6OM9U/l+8Ck0N1G+mIzmZ/PjR5qEcy5Bm2THq4/YwJ1QUSEaOf/Nh/rv3woGS
DDEBe268n17F7S0K3wbvJWg6f+MmtDDkxITs79/Lv7lMnMC2hEUih972z5dJBkMnqZPKOSLBph14
tljSmiZBNoco02HkquVvjnS/Pr94pvM04W0R7eRlf/z4KCaF85i79tEAxvtsDszoL0KxFaEDQEbV
160St9N66t+/1V+fLLAkA8s0ebeB/OWOCCTpoaV25DEDubwNqaNe9lR0NyBG/L+RA/6bt8jFQc6D
PbgOc+gj5ndHSA+8LS9VyOPUwvidC7O6XDrwornNBZPpE9ykr5p//v40hA3NpOOS//rpRRUxUotR
cvOYu7TKysK2LnLhx3sOOn97p5/thj/e6qDDAKTZNmBa/9c7LfZbX/A8OS5tF/jkQguH0WZP5PcU
IdtThWSAqWfm5m6nkX3dyF6rozOpgAAh+7A5XFTOWx4RIjDjzmLXuZR5fOtnLiXT338sv17hJM4s
uBo8kVwKNPo+++67KBNnxD6Mc0sWFi+UhEn9kk4G66VKbS61NGBb//uXNH+9d2mbc1exPDMg43s/
PeyjnHoJMl0uccYb2u1EpbNe9QwTfEJpxpIZ16G+3tPEPBGSaF6UcqhDWkmATLOTEGqaaMDZyi4p
2fczcOx/fNcH4NioBnEz8N39TPMQDWk45XPXFwiCT6lw0lfQ7Naxy60SZ0Qj/q6M88u95+Ll426g
lMMlSgjqxy+hSYiYG+28HJUd2m+dSAmcz03JZTrBKPinWwhejLqRjj8CDPzl2vQXSWcCMc1xIsJx
m2rzpehwea0caFfJ37zYL1+1fjGfMp2ge8Pj7Ke7DgGbWWOTmY9o3ThYQgfkyuJG5JT4+4tKakre
D7ecy+NSbx4c3hzBzp8u5NyKk8mtvZEdREufQnCGG6Cjdn32LoQA2l3WKSPqWzuyCeGMMYOCee1Z
LSQ9vQxWDVLQJKNOYIwcltYdNIyXxWvbgzBcSllUvaydIKfD8bzJOByPksBJX1YBTfLfv5NfLwbH
ZHtHwTRwLPHLVigpZ7/2iq47ymX2N2NJZAV2e7KPxBxsf/9Sv9z8rsOYtSbgUOVlsO2n666PhOwV
netjK1zrwpfQpQA1N0ASpI75lNPf1g/16vXdt2SzrOGu0OhOBsVpSf/0LaFqscymdeyj20z2Z9eV
6tjaYfD+XBBxvY6qzv+wd2bbcSLbFv0izqAPeM0+U0r1ki2/MCTbooegCSD4+jtR1bnXJdexb72f
lxrlYUtkQhDN3mvN1cyF9wgP2f7NTGd/HCLQFW20hT5WvgXTwxrw19fMLegduWOanSy0o+W8Qa2C
Bnav/Vk59nqcouCVVlPubmhnWt1VGNe8gQ6Sx4Pd0wNa2Xam70xVUkWc86Ve07RiOVgoHMCrWTCO
2tLvMkwZVnojem3gL0GUi/OHGF4yIXNkO7ce8omndhlehcFisNd9a8nT0Gq5BPt00403TpTGuiin
7pdTOIpWaTNgJgri0c7PnmkQVE04Rnk7Um24av0e1qab+je1tox5X5PJuaKKXRGMjDgMiYSZ4Uzq
hAfMOnFbeQnqQljIZOQ8bmrdANOo5vQ0Bqm1dsmVRGKoAN6GyLaa1AMwWJvDWL+AGqtq3hnC+ea1
wrBkfRvbIKcobsBgXoeg9SiG6jhPbgY98f/oH+f66NeUKMnuCaPk4A85pyJgcfztTFPpj83ngDFt
2oXFsq9pJO9aQgSCfqNajuIxh+7PwR3ETpgf48CYsCvB1LhxyrqAfB83Q3/bOR0PxJaCt7u2Spnf
1fMSQt6q3mp2WDfRfZl2cBmjVcnvhLS6b1Nn8i1GJ/Pm745fKffcNtZSihoLHvOE+rHBUFF6Lx4y
lPleomgNMehl7uXA3RyoaChqc3CayCHGSs/lqYNQuepJM/H3QUmDegtgm98I5yOyXufRqY7NlCnj
fqpTLt3kM6tWiGGcEk5SOJ19XY2D199ZKTGPm5zhktxwXq1btJtiBMdppC6odXSd+Ub1A1FhspJI
Cm2mcG+OGUEVxDd/ZYsRnqQ7RNZ4xAUH6LqflvhEUqCoaYEk6ub9VHCGXSEHpcoYK3NqH6zKIxE6
SFGdnKsk8O0rI0XP9sc+gJo9o2+OfUoNiV9TN8Nl6uiLiEJI0FBtq6e3sJ9BKmNKu/mjBOcVig/j
LJAVN7MJMo4SzO0dvXJiWd5fK6x7KMyXd2YUToYZ1EspvY1YxR6wvSfpgWovtXm7dxc5ue8xiprA
52SWFB731e6WmrmTdepVp/U47CYsfXB5ltYMia8vkecsG4l3v1ZQCxdbPlbQddJSnl/JjOPPZJlU
4N+XP+EriowJtStxiVVeIWgwU3jsdZCb3UUZxrympTQWwZp2ubFuNLjODoZqnN52VcMHsUxqJ9Cz
7e6umjEdfVGTcBDzFMLL87ugDid19iZ4336WIfMijyTV3wODTsY2CxpSpLQlqQInmr2xw/s3IsNd
ebQBAHYllCsYKy7dnCUfoXfEJzbmOW5Yr+1riduKJA5colFEOuiaKdzLTkW7mNM0mnxrt/iTAkoS
mUsz3jQnSm1UyPuAAhk2Vqx/72vKf6Esv+mTYvS2Oej85z7pJ9hZiKp+9Kb8+TN/tkkt010MKLiL
YFgvPTY2S3+2SWEd81f4T5xl78bJ4n/F8a73L9NiOXtfxVHQL5L6P8XyrrlA7oQFdtohrh6o8T/p
kn7YyVG48ABNOcvGhGMNOZV/XTwjNVopkU3jlSq/0XDiPXz94W7c/LEJ+LGXyc36cWvw0wU+nAra
ySlKOXGBAExGEsALDl/S4SoNoZN8+/Wl3redP2xD6DjDC4QISNuX1vNPe2CN4qXwmAbPmcfCk5FX
bLBp8TVYFxvT9pcum+LgawLVqzf3YFfILlzXLEtpdWJj3cTlt7ohSilm/nQTNjt7lGTmXgeV+p5S
AUrLS9Wi5nMvTF/OxwL8ctQ+ECWiL3yXc/2DhlpCVKR36noC8rKmhm0BV7lB5EqjhhaCg6gR04xv
gCkdBwdNkleUTZLfkw6JCH3tu9Ug6g0fgsRc0DMkuFTKPrGVSB/1VKiLImpQyc2DLsYdrsjCKS9E
jxvRm/z5KrBI5P0CrJbej0GzG2aG3aI5A3N47RpCzhdZHyLNHVFOu9XWGWICjJGWYqefIgCjLVbx
/84a/y9PzVLx/GHw/oTGvKwVwviXjzSn95/6t7wiANkE6JJ6EWVofGv/N2+EzChse5k6Ah8b3DIF
/C/OCSMcAYUm8gnfFpR+eB//nDhsfiHVXsatzVmQcpD1TyYO58PMwdy11DsxRAgONsL7WGJIdTsq
hIrt0asiTDAAeKw7E8Y0+rJU7uomC/qVJ4X52hkiehBJ2CJ7rSIiIdLotDQw2KwK65LRWu1RGw5r
ewB3uwIlaDwEAJ82IpFeuq0xi6+tJEMrXRnqe9baYJCTGLW73fRbWQYE5CVldAZqB1oRHfeA/cBh
gxWb7bjvS2M+1E3p32OMnq5+eGR/M7V9OGdxB1zXt12P28A95ejx17kz00Cd6kHK49Ra0w0QI7jO
WoXsbvrle/G5f329D0fI9+vhb0R3DZiEBeBDDdE2LHOK81zSjWmdJVTjNZ7HgeIO9+DXV/owaS9X
Eg5ldCZUuF8/1bRn5Vvz0hM4jjj7N3aWMYVqz9hjG0nv6bK7e51k0d2vL/o3X48WizAt6gkMU/PD
UpSZdjeWVVcc2V1rGpqqJUfGRP+wUZPX6tU/v5rn4vCkWun64mOlOQ6DMa2Inz0S5eqxP27LeTf5
rTVeqyJ8+PW1rOXE/cPCtNzPUPC2BoIz8lIQ+utImfK4SEp2n8cmmQpn7SSAGpAxlEseEgKARCfT
tWqVdTniDD/Mhegl4g6/+8ffmTWRTAkSHkL++7FCV1id0KUiQrYhLAgoVqfBboIifwj9JYH911/6
5zHEzoJWgU3p5m+qX20TFk5PzuVRWvN8WwdtR/QNb7BMJAB33aUsW6JCl/6b6/48jLB2kxqCe3cR
Mn2sRdCfHwmtlhlRswRsrmDJPIyOGkcEjZDKf/0dP1zrXd1Gujd7MR4vG71ljvyhzOqmxmgNCWG1
HC1jQuO0gINqtvoiRv3++OtrfZhv36/FLo1bGQjTfdfN/XitrOx9ozUYQ7OeRwvTuiBFInUGa/Pr
6/zknlwUewRkUMt/H672X7+T8ouuhSmaHiMTf91mGsn/RI9QQdceHO8+SVP2JhNnFLRepEphlCjj
5A8v7n8MI/kwdpbvSgWLiW4hG/k/lWoHbUHswf9xjEiBhHUwNCBnZiM+R2ROn2oE+ZvOd/Rv5vOP
9f3lskuXl1oS9WvbhOz0l8c5xP5Qz8jYjkkAUJ9wpfJEfVdfyaxK9q0j6fH3BvAyiDtTLNbRqPRw
HP1q+mYRK9h+lbgAT3iaokNsEvQRpQR9RHNm/IEK+I935+8+J/0+tgb0wkkW8T8U+HKPHDgKUwaB
EcJ/1Vq5LZagIuQRwUP3D5WRScHO0xBia9RjfkZHovGYItw+qrx2L8I+jI5TGjhX5GV0YufTgc4w
s4Zi2P96NP08agPabDRI6csGvv/xo5ohwuSuGFOgECaKjTyGF4g3pftdfM3PbyIiTx4ZLdClF/tx
bUwNm5sCKOJYjzV8XNRX+NKgXSxR6d79r7/Tx+mccbL0WqEG0KdE0fCxwKqDzuvcKWM6x0SxiYNo
2JgFXOiCV2UHliReo9bSFxblgmdCzOL9VHv9b26sZX487iwfA86ZMJeCMl3MBZ/+44xQtJJIwsaO
DgIZjT6KAjz4ClSwI4k3lwjnEOC+ekmUrtNUEXGtZZLF/P/C2UCG7V3gR4hOoVKUvAdspquugbNP
1mWvUnjV5XwGo0XqaNrYd3PhRG/DpIqnQBfzeUaxA9Onaf17AXOFNlPgXQytyYTblaN9h/nBvye1
0zz0xDtdJiAUcXPK1HgwBJI+HUeOWhVVQgxBa/YvRYRNdDbYxnUwfjGDggB5KwPDowBWoggFwyGj
w9xZbkfGSKKI1hTtskeoc9dcVZRaXkAmWl9JunceR8eRhCVFQ2msuyly34qhd0eiTycn2XZBlpwh
bJd4f5harHZIX1XC5F13sfcWE6Nsr6uSbeMaCEkQo9oLY7UzE9/djy4tpA0Olu5bQArEtsoa8Rw0
1EvvaitjvPH2xySBEIYB70RiQAhsCnsrs1PiecaSspnyMD6L5Wc7r+ZjIH8k5jAdCZ0TaWE8hLWj
z6wzxVPT6PH6/fZG/tgT/5KYt9LhpHiqZ5IgjhE4H+dkm2VCUCd8JcISk0xuYVwwW2GRuwDQwwz1
rhUlNpoRiVHWArdSWIRJpaSlrIg6WQDVppk8uFPqflIYJQz8oWZ14+Q2EKXM5ffQokjOfi+x6DQi
fW1NkFXwPlsd70OEnPOKCC7vnuAo5xGUE6xgw+belo6dvhKla1OmIvgbSg8tCF4aAhuitMTDDvm5
5+BJNdIcmonUDHdAkOZa6RdiMZia8EI/WRpW99ZZxmE51tGJmMkxXusk6NPNPFlsYBC0zTv8TYwl
UfbzGQwZpdGIo5fG8j/MtyDscajMJfsclXQSYwxfoFtBxpojsu8CY2t2iXxJxtg8EDTJ6MWrMt20
UTLVqBw5MfhebTz4Sc4NM2OX/BqjyE55UGzD2cg3U+tO16hFG4JrBZns41xvG0SVa23U7S1KiRTb
Y1tdjPG4uECLlNIujGzLqeaTakz/QE0oeoh7sa1dlb80fpUjVk7wrkce/NBZ7PN0xj+CtW9vgqR6
DogkXKEH3Zu17hEjYtMxjWle25z51paPMwySd7kmyrXIgX+59hOBvtdpXOkTiNBdkjTOblRJfQp5
SVaJgRcG21OIxYevRYhJu07yvCBGCGeHvfhwe899bkXnnKknXLfUF1e4h6YN8FA42XSfd16TPvok
CiEMk/YF5Rfclrm3ln017gHo4A9C/LxKZtPfhBJTGZi3uy7Rr7j4XySO3W2G+3SjqXwg5Bvso2EG
nxu/Q1o4OLJY64lAnkhJ+0vpuCeYPSS42ymSTKDyuYv0bIgu6krEn3tpz9vE1dMpKUomYHfZI5W2
vvJTxzn3+PlurbTo8Cl7Odku/mUuGlpyEIsy0YW49Rv4898bM5cHbdUZ2LVoiJoVdG4aS7W7xCYZ
sbhUXsEHqgv64KtB2/OjB5ic2N8iUtt+sENyRqzmmo2Sm2xGlMCbHHnAI1SV+FHZ5nivgdYCDuhk
gDSb3PVzjgx0G5W+2Ll5H3zLyrTFV+ZPR5o1JRdlF32mCnVHPNp4J0att86s1HZZfzySXuWQrOF+
lTddL+a14E0jK9NAkbWyc0IxSdU8xAjAWQsrv1v7YFOYiirCZ92IFUEg0DrIjKOPYvwRc6mrXTib
7l7hUJPrVtrlNVkLTwIB/sYaqdu5hEJh4y/qINv0fu5mO9hx5QVi4nxXZbl3Yyq4kCgb4099Fo8X
jpo2PXlOp2xUJDPawRh+cYAlQpKt7C5dD8yTxypsk5PTsG9Hsx10h3koGZgZeweOCIVxW+hWbIHp
fq7qwNuZZT88410P3np3gtroV5b9YJee+DSNczjvTW/JvVfjtIJqxX6smpqDnOfwakIbfdsWnV4T
0ETzpW8EwRukf4eTZZNiban2u7SJQIAsrU9N75wFTslzCEC5WLsheb4edivQBwDaRBHeUoyL4DAS
vsThP0tcyhSt9WBgkltbRHCfeKjh/eSpecMijNe6Mgb36zSb3a3oDaoGNMOIGibjGr7udkHuLXHa
sbfHDgDPMeiHLe07F7NuV9/EfeesyPvOjlHW2GfuYLpxSoKp6QntB89jYIfVGc8N9tcytG/ipiCX
h3bc5ZIhv2rl7N1HqOI3ZTDW4P3xXBdzF7woLK5rJhrsMd2YIknpa1BkeeQF+wQ9ByLp0SLSqovi
p8qcnCtlBvW1OUds+zHP+yvZGRmAhdyo3VVKTu++yCvx7OFUfeCrxRcTiRn1JorITdZGqL/3HMcv
e2dUt71rTAEmaPLsiROvWNPhF7Trqh68K07six9TCA4AVn0qiGvg7erleczK4kb6Xn8dEDF7cNB0
EI4dBgcSlNvjGFTGarCi4ILGf3TOVBXs3XgoXxfvnb/NZdh8cmOi6Xw/y99CrwQ7LAUKZkNV1JKy
on0SnfxS8qu3bVOTDBd6s41cEV/2iyldgMXsMY1jLBfHZ2Dhom1wLG9cHPgXwP4w+NbZlieebvMS
Kb8Ryk2qJA0eL3Sw6MexPotQ1a+Q2QY0ipmxCULWQAzedIw9EnDB6fc3ljl0r1mLrSBrClYNJgGQ
iP16cEWTe48wqyvRffVdzoork3Z+8pYYuln36E2Azrl9xTGpN94akN7nCVn2VTp66tGIo+HVbdPg
OVZhW60AoxvFZjIJXmTZ02UhyjUVkepg+C6GBhta3bb0h08kZcAUyctmYwQD2RlZk9WrdMzhBoIh
v9K2FsjYG6oadhMtJMfJ4VP15MBVmXmmMV+glh5ZM2r4tdBilYKEweSUwLPIALtY0difrLaUakNX
sGY6I2YaQElmYzTEW3vEu8EyYlEdYlwWxHDFcFYf0iI0d2Fe89xYFPaOKfuTJJbjq+RsxAmDjIjK
KLkLbZB+iSi/owFhi3NOhLSrlbDb6YA9LXrSKHJfDFsabza2zUtC/uIHrwIUaOEQpwU/hY+AQQbk
9177hdCflO2kCV+uSx/ZGGONjHxzleTNne9gEZ6rlZ6ZXskiZlCVT2i2zZUZGHdigJOeiQoHjQh2
LuYQYnN6vYZbXa4mNicbQb7NCqw4bQLO2KhpMMmHU/qaF3ZSrQ3OySuV9DVLZXwgJcfeKX/8jnMg
3HOWd9dNa4c7uBNinRMGQyMVpDnG6FXpLX75MF6jcjbwRDOcMbNYF9ojEHi2XmYMH6ukVsHe1oBM
YZYXe7dPp/vGtwmzQKh4xkL+Zki4rc1MIrM/DPaJhB6TPJ8E83WrC1JVKA/Y0wCdQLZqL5PefM17
kis547PqsBE6uQrDfBemDTGGfXeJDwYuoTXtcxgf5Lkl05pDtb/px+l69E2IN+7kH7y2SdZmOeB/
bySyePzFaOiim8ki3bovMrkL+g48gVFvJWqgveWnNWG+4Re8QeWu1ZLcL0ntYI5B+Y/drXKMl9R3
dyDhCWBR4VVVdliZm+exnK9VHp362n+UbXRmyqVgVKT9BVi1N6ivT/Df74Rd7SW76XWVFS+hmS6Z
dxQpRR++Ik7p1jORwZvQsBC6FAs4vrZfp9BiYwV8YxMkNg7Wtt+EtrnLlLyYEjEC0fG/lkMoV3ZJ
VXvlQbfdxqNSn2Zn/joRu+RnBDw2okA2oUMdfzJlF5NRjkiDmDo5rLTWK2wKzt7C5tCknycQsgfV
J5de82gGg3poApQ/SZfeCydODmIM83XbDOqzYbfBdsLJdBg4w1wq1RqHdsL8TjaLefKcVHz2O7fa
p2XjB5suGYlYbnzKo2O2HCew5U77erTYQqeQBKAXYYWHymS0O1RYd2SlhN9MTG3GyZAFBR2c811g
Ani2R+eCNnXXAfJJkBYUdrv8PrvJ4XZQdCb0KbOi/hiXPSNajDmGTKqabtZjyihofJMtVK9y9kMH
4SgBn0H1AjKoUWfNChcDvrRu5MiZhzibwU89B3EevXURFiVYpR0tBi8KOIjYAQepDa5njkUxw14R
NReRUx0vPQ1dq+gZ47UBh7vhjFED3snSmUgv1rgnbCn6bLgkk9qpMLa9bnzzKjM8WAJ9qDl2KMG0
NHaZQ7zhcjqx0mn4ns32eJ355HGi85l3aGDyU5KP0XNcGhS5Y/Q7d1bnkfLntZxE4nkwX4lh8b1z
nwzLkTfssfYnZFZ+gv3C1qEwfHMvLac9srfnVxt+ZWyTmgP6xsNKvxOW4Hw1+v0Xn3CYTdqy/Vu5
ibwhuh4NzgBfX8akGrLkH+28YyHtnOjkJB5FAbyH50AJagRLp+b9eoN0ja2u/fYY+Q49m7wY9ghC
y8/v/yTElnRHNqp/X4ss3GOrmA+2k8uXruw5g02tTZUgcMbrEfgMIBtz6fXMlX8f5txMNNgYe/Cc
oM6gUEw+CG2UCX+Ayvnj4rwy8TXByzJCPmKZjPnJhxoGTtXrPpFKzxdIM34j88h821F4uUF4Yn0u
0cGwtc9NPvM4tcfWq6abfGK/OxuJeZiR/J3x/OoeRxnfizTR6EF6HPvIgJIwSnTWAAaQnO2VKjDm
oGoC7JXOVEUoXjIZKFQikdmGm9odPEA3ES5Ixr85G5dQWuULxT9ACHlGRTGYL8K2JaTQKsKekkwT
9Qk8lbneYasZiWYkBvjKs0bvos5mOmSzR/EqmvPT+7gzMMnu0O4abP/7giStYr5N+s7nmDShImJp
kNGbUS1pHAbHrNtCLfekUHTZLP7Is5quajFw2yhSrl1Lzme7ssiCWkpxnarms9AQRmZwxdCNAWST
izufe3eBbIEj4hcWmX8f26GxDRP047Koqecv4VUTiUSfS3NJy6jc9iiq5W9xELcbC6qYXuND0eeB
XwQkpg29TTMaJrB3z802KK3Cfdox7hOD7bWFQZE3cjnwW4Ydvc2WS1EpYzQ5CHc3i27phVIioZAs
58Njb0/WZWiN0WkgNeIFTzd4sijh1SGtlofpKHqTkG1OkbTql1x0PV5TCLJEZAwFcq+2iKw7Dgd8
w8r2KX9FMdGt6yAaq31YpfYl55b2Uw/9AzqNWeQnhaTuPJApBiOmh6u8vLB2l5NUNpfypQkQ7LCU
d8Op6HV0BNfPgFSB0b3MAKxik4pc3/BzYbtka7fBqwJntk4s4rZlL79WZhCuQ5p5+25oo5PZ83T6
PuJlx7oFzE6HVCyqcN+3Q79dKB1nhxL4WRLk8tyisIIt4c/WBfJyGPYOKchesdhwe04+3gYLZrg3
HY/iB21RUmSWUTDiJb70pEdJAc37sF6QhO1qBHZ48sVsvpIRJ19oRRr1ml4s73TdgqmuOZ3ulMn8
GLrcqdiPDdLFoojwFIAbq7BfxmBrakaeh18rjRcPTODo+WAIiGuARzj2wboavgc+5+Q1B4zpc1en
E8GfAV2ojg15SylVxtuEbQUro8yaS6sbqqtk7NVDCrv3m0RS/ZbWU3gavKTQK2IEx2s3HclU8YQG
2YLD8DiETfSc+Z5X4dl2WlASNQXuTYH1Q2/fS8L/lUf9Rh5lm3Sjfqie/yR0OL+w/3upvv2oj/rz
h/7UOQikThhj0K0jHEaVYNJG/1MfJcJ/0d7wUCfR0kPlQNH/3/kc4b8EncWAnS2CXyxzqC3+lDlA
9V36rBaSCQGRVPBX/yCf40OPn8szwNlemCEQX8wLH1pCcEKzluzE+SBiy5tpgbnVZUy44GNJNhr5
kJ73m9b7Tw0TNF2LJWnxWCH88D8U9akbJL0x+/qAjbq9NY1hWL87In54CH8jXfipycdXWjQLrosh
wrI/WhN6r6Pu6iXTQfdNiup9am6h06MlEK7cmsYInbxrx43bZMZdhzHqN71MRAT0Jn7oiHNfLfp6
S48vsPnDR7MQPQemSy36Q134OLenMZl3hWBNHrD1XU426vUpm5CHQpChDCapsixVDAgT64557J5C
kAXUi+PauaNGzXbJcgs2FGO+wwnPvy1qjaDUKQys45PMWChJSVliRAONDJmgYfgzAZXAKZgPiesx
wwq/oWTjNZ+jtNH7pX2ApjS2yEeqGwf8Jr3D+WA2iF8x9MmrliPwA2ee6aZ3VHQa/U6+gGBITVIn
Bw0Sh280VMXwVKhK75GeVZeRRSgXItGA7EmSKS+TyKy/JKmWz6hV+MFxSsPLjvl+S287ugsHqtqb
oZMkJHCrsIzEiEIsAjBJV9sjGONrmqKzt4L40QfMRsyuE4B6r5mh07khsGdWg2IlRdreEi7pQIIW
ZDmQmMWBCj77Gd95emDPMuL+Tls8YnZzy34tOs1KTHu/sYpj0898HKcfnjIOYk9NNvv3PB17O6PN
gDpIwVf5U/NVI9ddx8JiDMGBfUz6qH5W5syTaaA1H/wx5B0aWdicvgovfQS7h6ZJ9NuoiPI2W35E
m233ya/hQEYT4Mom7q0HkBPdp6wfq8uprsPLskQYtwmzBgC8W45GufLVDJykKOS2k3iCYVHYW0pq
+Z30kxDJLSy0zK7br27EH+McUdM6zuw5PlB8WhDcqvk6EXL2GBBMvfdTVRzrgIerBTLsSWHo2nTg
sCvwfghTJPmoLKgUkAXFq70BDPMuHi0ip4OkuUJ14VETj4fvuanpSkEq2JWFaTJpWDXW/GZ4ikJ4
a2Ez8KscoGuyjIKVNfGNw9GQV1G+vOxG410bsTlQceS7+KQG0NPDUDfkOUNxSKrhO91xvdep7V7H
Lk8iGjCjuZXUGwK53JIFTnFfc7afVClhhY9RRrF2YgtJizeK7nwzar56oTmfqzHRj+T0pnsqq/mm
aJt8Ry2uJ2rMtx7wOyPMjgvOKgb3tot5jplabvUyRAtC6b7rlm8/5xpxYzPzJFy/1nvXYvyTQocX
IhYROTj582h0ikZiW17HwRsHb7ZfqVH6yaqLwCEmnffFpPzw2Y4i9RTbjM2VbeTp3jY5Arhu8QWq
x0DtUEh68R6DctkSTQkPyhdGv4saV15LGgTXYT961wqX+0OVdvJZES34xaCsBAaDI1drR/UXB2Q5
FGTDu5+CpQFgZOy7AgJLX2K2JqT2OcToYm3IN+9fLkh4Cbq6M+4mkmV7PIzZfB4D3X2i9Jnf6ZoG
5wolZUHN18KeXmQl6HQzPfS1jSFjgjC796YUcUDhk4fhljkCTppYzWfcKuEl4lHoOL7tNERu2HFg
fwpykCb+81BXY/81bZX7nJKUkMeHwZkr9wCAy0C7aZqjOutmxOI3xo5y75ycQkDjTvrRCjjPYCjH
i2gBsEVnNPs7xqFHyQRlIN2HqWdqUtWVqukT9Iywk2vkN73ZGbc1ZkbDU1duKctdkAjvdubQhMmR
2i88WWrI0RUFE9pOgpcohhFyLO38sUNqtQX/B1vB1a9pQEcS0MK3PLHLo1HFUEfd5JjMPmQgS8nL
uhzGbeENBAxGwDMsPAFggLoLgE0AQfBOnqY5DzcWdf81Yvt4E8s4vXIhu52pqQ56DVnw5GfBycjJ
PEkL6GQrGUbNEYkAGe8GwfeNGXvQLGAYrsqieCNElt6V4y21+w54bOhWd7oS6ZYQu/AiSwib6Pxs
3PkJL2xDFvQF5DSQ3WEQI7jhQdrWYB5NSvhwsTnVyN4JtvVo2GvKj7yWlZXtE1PItW2U5sXopeFB
xdY9DJSQo5ToLq0qdIqtzb3/2slx9NdeExrzqpx5hqu46IeDLVOUGBakTDKQL1VHpa6yTXWMR9Kc
2Rf4lJEjn/yuqPvq1KPax/B9wdc2KUxirI2rxJ76LcE9zR1aRVLD+rwjZVsBz0lynARhMH0JkPSs
oP1MFxWRiDBN8vw5NKJarP3J13uahdSZhM+xDvFBshY4ItghOs0tuzPKlvhjxFEyvxLgzCSSrJpc
olEmwLI+u0UnL+irztvaNu0jtu1u4yQJb1VH2mHerKqaEUg12TtJv50eZ4w6oOfoYQQdkVzFxhmM
mkKwP7/IwvSOti7nB5nJOl5bXXiYZi88llCgb9LcmTdDpJpTXkp37dtFyXAHilqMcU5jzHFvRefm
bA60pVZxO5YrE2xzYwzlFhLMvBo9cLdo4bPPJMygkjb1uHMjPSBNH4xdkxRkfMXlbWEZrOUcN45p
6lDUdodhExtx+FTAhtkXKSPed+rkGODv3UKyIdY3rIGBAOK+Q2wQXFnNrE+LSLSgSx4mtPr9tvwO
TusqiWZxGU697a/dcaTkW3i2R/styc+SRJ6jTEo6MmnitxfFHDnPKhPaXQkPnjcF0KK7SLBkBevM
yszvsizLYuOKyp+wvpnDcW6acC3B5+BYK7znsVCwOOc8zS7JWuu+lk7m04Lu3GGOqTdbsfccDqZ5
GJO8S1cm3JVsRc5MvhOJN7zWmVWv+2Jc9gWyucXNS/ZyM1T1NhjK9MKYCkAvkRaZYPiVybF1hvYS
837trtuJatsKy3N6mADyd+ssrb1rbUfpAZiwfLUlZ2N6jDpfng0Hv2WLlGUO69CiUiBHHdiKTTM9
IJOOqDIY1et4tPGYmnnHgiOZhd+qgkxUidX5TtJJ5R1AfnEpIlNGm9hbjptJWtKkkd71nKbGnVFL
bJ9D6iQ7lacETsZYhtclmzwoWP4kXyepZrlNPB6SBU5ypRW7wj82Xw1o0gfglN03mYkMHhngTPbJ
JbV+sCzQNdmG+vdT3rAtWzaM1dYe3HyTJXZxRKdVXRL8Oh9cs0OLUo9Mxu1iCC4lbZNN4nUs7mFZ
G3dVHKqn1HZwIZTsNCrPl1dwMZdPETafHcNnWxo1zTIpI2x46wFn01QHEkt1o7FumAarb470a3Kt
0bOxaqPx8eMFxlS2fBza9HqfWIZ6SlKKGiurMYKKGnur9wsu+8Ic0JEkCuJ/HLOW12y2nik5l+tO
L9vf0K+fRT8VR9ox5mrhcT0E5aTfAk2Q1jRHNbIYADcWohaNxCTC/oeZqTjmgHt/J4P7uzPEIhDk
vCQQ7C0q+B/1TzQ88jqOiXCPDbs5RSGTIdvhJZUoa9pbWtRs78E/bwYezJdOw4mpMP6RT9p7vzvQ
kIX883lm+SQINihoQS/862dRtVOX1Cn6gwthl+ivWXnXwiemOwaLf9IuG8Ik5M5izp1uRFyTi955
zoHa65c4qhiYldOcOmfQZELI5rOCAHQ9pPb0OLLj3v368GdxOP7p8BVgHEDlCc+D+Mm/fthABLkY
DKc7GOkiY+iowmoQ52vTypJrQzHqWIoYYNbAiIcVFWxM1qmlk16/ZJJ9s6Dj+RvJ5/uR868nQscT
CL+XDyUQ1n84+MaqYYykcXcoS4duIhSgaNMFqrmcR2PYt61KQPEV81aTlkXXXbGDyiSHV5Esr6k7
5HdA85uTU/gonCKv/ibTQtwGfkxCV9/MBDO2NbDinujbX99Oz/p5IKKWDyhecKgm5eSj+NBTxFIV
esR92LCmaZESrdaUod7V/8PemS23baVd9FX6BZA6mIFbgIMoaiIla/ANSrFjzNPBdICn/xcYu3/b
6U4696muSqqTyBRJ4OAb9l4b+QqfZTVt/MR0v6DCHK9QXcY7TTfevayB1h+TfEUm/Fazp3gzNGV9
O0rDehubprpNFzM/ClGaHw0SJdVtEzfVeJRJ4jGC1wGpwzLbpQyw9yVHyVXsp/a90IlRlKqkXi1K
/4YCkvWFwthpJVTzsiWxol5PGAhO2nkkFO9RY2KG2C4WxJZVFiRWs+OMdSzk/91UI8cfOMCYsFKz
0yzTl8Q5/9GCJ6QKJBovRBtrra6qpT1VRbueKf5atgMZf/WZzwcWQaCPFruAraGi5i43kQBkA2uV
EfldCBN5fF7FvQR2kvTzUZpoB6/7YnHHmzYCsPYyQTTjkdT1EPZwIguMyuDbtCvTzAacHrbRA9fY
8IYq47mOLJKmW7PJD65D6B/5emO6iZb1H0QU9NFGdNhuwghcvQdHnYr7CEqj++wWpmp4GlPTS5EQ
CB4xUB6DuPJrWPU2HUmhKOVdVHSBhjc4pJ0WV3TfHLGe1b1Ad2CtXel22NmIv8LSZ8R+IaF4BEz+
OmdDvpMpSPthpLoSwPlIR+5pKMgPHJ77tPjoypUPrPTmzZsKMLhyXvU262fn5whBrpdlNcnYiXaW
eLMPOg8OokxWmmlObEro2X1x6FFbvCvUZ+8WBA3qffhhYIj4Ps3ekyv0kZSFlljtYaLpd4qqe6lQ
x70opZsHoTiN+rW3qxIgTQk6mym0lkKxZSymYacvcXmQHSDSrCJwkNrJPZWmHJ6FjqSRmXz9bncA
dVCvz4Rf0j1vMKnyBOhrvXsxMgZKbVs0d6zrSKOOLE6TPqq8jen1dEaRZfVuSD4d90iHxEEPlM6/
JLSv/XRhYXlrJl1Hd0jIiLVcVQnPxLZpmcoBufED5a+P0KTkuLRnlwFQabSv00w4iz4xZumaxL/B
US2v09mtbhyQ/nvJA3RfkSQc1l41PnsWfXQ/zSmeaSZAPtmzd2XOfMiFkP7Bm6rlC1tHcHKph88/
d8qHUbnNr+wfabeFTbptBV8SqgPZduQShRUo9NPlt1bWquUidpULoy7W74BYrYO+3qpqPd9Fnk8b
1AvNR7tVw07JErNkJiZjCzKLycjavKYY2KtNoqz2JCrJN1OD+f98eRY3VYzBnVnPfMyxlCICkRNz
HZNdKINV3h0s+iNW7/lWjUzXLpchyxMKibhqxZUaYKRaMRMPs5vb02XiU5lcPiWcPFIsmZy0JV1w
UenpVWFRUBUe9KAhcmy82IwHtFjjY7BWayIDxxWEty7XUm/e5Wj3wylJvkgPrdvC7VaFao4pRiZs
7KEXM70SjcrPbWMp4gNZU9CnUJINNbvLdhgZzlWAzxnwiwJZKO9I4NhliLNwC9bQSZ+MCJ0xox2B
6HBACOBnXIIsNvVpW5XcMbEq7Xsjd1brghDAfZ2xQ5sGrYszLG9fF9NiUGb3U/uJ3GWkuaKfP1R4
rYLIkAWpzFwUyPk41ujo2Yyuk5p1RR54lBrolZaUP6k0GPa0BJNvTZ2Xv8xvLg9JlUOzqVbGGlyw
34RY1nLZ1fj6ipJiqe1Evvv90kRSs2tANRyqWo/OQi+qm6Y2CBkHJnWDzKF9rXVmaKy/makNa608
lWZyP1p0WmyXeg53DbJQXfj1RxVT7EjR+jDdOWfrKeEjTGwsCqIy+ULynODYjvZp2zmU5z07NhI7
yodWrscwESUduvmCiaSfutS8ueTHeYjOBF5S8CXr1Ju6ZH0K0KB91D0uCWsZus9DyyIu0aP43kWA
jvh3vX5yiKq0OgwjHd5OtE6/LuWt5zMhjYnIOJfTyBQJWSKZKWj5Ls8GvWcEjPqEvE2OfOZODFFH
zbbu3VizeVRMvnfT+pQh7ZwbT+jfx9AvWWI52A0OFu1wmDiZ/tQ4JkTMgS/SZ0B8mAsBlB3ILtR+
ilgwHPU2oTx867pJNjtJbt2mnEg5NtCNPc8TZXKTM58TdQGAtwRfFXGOvdadB9HCKVjTRhz7l5Hg
2DO09AxWXnGVEGylKD87TpMmpM2BZsxabNfWiuKkp9kpVxZeb5pMQeuCm2KGYPixMDQG1BMzYzON
aBV6CmfTgY5gMFwmoWu9eC7HrHL5NJgcofOurfiFrn5GO2iUaz+B5P1aSaKaJEObD41L1a4tEyOL
sRv5MAXHWzJyH+VI0l6EMzb0eCbXmiais5qYlxmFKtNDZdnt9dQUDBHXoxJEj7GVuZnfL3ip+SpT
m6kX8l2z9Xk+JIxMuCcl02kieVeVm64/ma07/Oau2mUijFASUuCBovJpQtgeN792paTkaImdOWQV
N1napMk9wvOPgKH41C7kFcNLuFXGnM+gLwTd0Di1r1QlGbEeimVvAKnWp24Z7BQwtuCQnRCVPNd1
RAU5E0U1Dnzhs5cvt7nBSP3yfy835lxmPGI0NJ+f7IlnKl5T61AtvXpQhjbvyiQDmT/V3NApVWXs
2hwyo82VbTXuAmOBuOPbxlnoyCbS41SXfxmspXZQ2tDAXgbFq5TQMuhMJ7ny0FRLS4ZIedgzSOAd
Txg2sulq8Kw3dEPJZlk3MT0Dle1gs24lLXjwrvuIJJFLufrPqvIvVpWmjrT0u8r+D6vKxxpZ1L82
72gG379fV379wa/rSt/5BQceHlVKfTi0zmoc/YZzWEkP8MVMpjmAu7+PGoXngI973Xf9m/TwdV1p
QdH3UEPBzcOxKLBJ/Z11JfiCH3s79pR4LqF76jjoDAH798fezhdd1UdRqx0x140nAIggoC1pH8pi
ybcupJiNQGZ/pk0a915tkTIyzv4BI3CyifN6epp5Dhwh15Sh3vbeVZ6K0SaqIqtQ5uoZs8EqAR8c
n+PGvEKxPlK3SdTRVvU8DfnDZBBelE+xh6TXQM7oZMSCdBYP9bKieEPtyKLAKozHvqKJaxoDmIEZ
l3fWNHZPlenz8HF7azNzYH8W2hDMnvkhq7MvZtO3AQyXExq4/pzVjr1vJxvPAC1AeWYkP1zXjdce
ZzcZcSe2Zb5nXE6UBFuKm3ly3ENJHbDNSExBNsdMFjg8jOi8XpxNzMcJcAk4VjBZaHChBjdEb9HL
JcEsqvlqEVJQpViIhe3WvhHSuyoK49wIArnN3tdvy5yQgUiVHPo+E0ewC9scy0jQtl6060VThlww
TMwQJQRtnE/IZ9sQrYkM+bLK49JbTNtszb0us4zWpI7QjbDr2CkjVhXDM9BXod2pGFDy8sjkh4Ca
OXn2Z934MJW2c1CWO75Vem0ESdf6GzGbdXTXyNkQWwKrU4lcFUmMOI5VRM5OJU2e/9t0qj3tU14o
8NEYGgYNEwCYKxmQXtUhU7WRNAWahWQFEwiErNasPOBZPkKeyWtNFfDIbad9aUASNFxb7V1411WQ
Yi2/V2XVnzW3R/E/s+dJejazDDeCPk7tG8LoBaNLleZbLcdFE2A+Q+ScDVZ+p80pOQQbrVQqhnrV
yEXKW7iK8JMKTkQW/3bAH9S5TDhHOs7q2iVCzpFvlGb2WS7NlOaBj5pEI/Icj6rMplPU5+W++h3s
YTIjHKcd3CoB7c1aGtmf6RuM2fkwiaETj9o4O17MnBg1GRK0uByAKgsczorU6NxhhK1ukSDNTbvD
6FMNoV4I/aX2GnWaFPpYxIs4SXZGqmd1mGux2qQwVaNQG7rOh5s/as9Jbqf5xlhcArB6p1S3uc62
Pqj89jPMp5XchafvDBkSNgfjphYnRN4kz5Fd5eWdls2GHpbNLO6XcXJGgtPdKQoJp6+Z18CnvkY9
mVxBwdW26YLkMyT/a37E0eTGgalJ9ZKjnGaT0DrmxzaxiA6Ky/ieTWx777BJQGbfNKGT6Nh3+AXE
LXYFe1vGraALLpardK6aB6eT1bOvaFUCt0VeFlhzto5CfUQ3wAKIIvWc6ADvTkNZhDGFgOBe2Rtd
03v4ZXrl8pUvxNtlttnPTJkSZqdQu8/D6FYPrdfEe7e1gkQf7Xs/G+OnqGjUkVKELNSWKKa3fx6I
/xOkxNENJln/HW10fK+69+77RyEPlfVHvj0KrV94CrquzYwcdpChozL596PQgGzEtg2+AmxWTID/
lu5YPLG+SXUcUEYoFjxIRw7PVOtvEUl06yexzkoexQ/rmTydTaCAP5uNUVR6RRYr51iyW2BlRzdB
S6FPM8ct0OvLM8RYogEjQbkekXU1c7JK4HsoOJee3uaxqNvVut11jikVoQg4/KIrLxoYGQ3mSG/r
tsXCDCuhMnB3pRxLa7rrIUyzZZsNF5sfgCCnj3nAFKVzM1pt9ymPpxOBWG6EiYFkCyvB7FWAFSB0
GOMpJeH8qHnLot8sGAZx+/l6JeD9+0ZGhIouO3FTKTY5YdYJqQWuJHP1qmgZjT5kWpQ/yjby39Dr
mkkou3bQQymZ4R8xAwJnq2f/FR+wVfMSEBG3Cnx9uqcrEDw756rckr3n3edt5by1rjttNL+ePqaj
lT0sdu/u6gHJDOJcSQDxyHoxqM1EY0hSa/hzlpLKfSiSj06HasboTKMmgTb1P9W+96lQ850nJASk
MSdLmb9Et+PgmPepnYqrFXC17TPTD5UpSv4b029PA/LPKRTzLLAB0HQElNo+6puhlkFhRXCcJt0e
ryptKR8GfeieiViJDoac0eEv7nzyO2PGBsXwn6cOFgnYaahMkiJLP3M92KcMfQUEv9rQ7pMSa5Cy
HXnV1ahISfyqnhISMPaLN9QPNcPNcFTozEOLh/kt8iDjRauxkgdOa5j39Fzo/GliQixK7mFM9eVY
9PY84vaxhq1uVMxzk5E8Gi1SO3MyF8YmmarDOWqXj9pc4lvA77tvSZqlVzWWT6I0XGQQevO4iDm6
I/iqvqm1eCh5RmnzvRoWhzSenRotdoZ58O3vfW5gnL3VbKPBfp6K8pLHN7LcltcZW5upui6jbirq
jdtHbebvyN04e5rusbsZ2SNOC/nzkS4+/XOi/i8nqgFn+0/VkHe/Tf+6/k12v83fn6pff+ybHtL8
xRccTT4iLgS5POH/faoilbT5J6DmV1nj93pIorNMR2cNZtjw6rB5Iyv8dsh6vyBcBPjPvxGWju7u
7zQYLLR+bDBWQSYzQ8K9PA9YBmf3jw2G0RIZZA6EY7MsxzBINdlv5xgQwpE4JvuohGzHx5iU8uta
pMnA3VH1p6Rh+77P2Z7iPmEhzqB29WdQ0ZuscvDQGI1CIx1HVnrCECj2bl4Ri+G32BOUNt2h3EpM
9CDo85VR2a9ONb7jCmR5UJRPYxvZjz21/KmT/lO9ehqKqsGTUjOhYQSqMw2WpPXdDpPFzsLLPP3c
ObUZ9E0vXn0yWYjM0VLjXFX4CrpVX12vXCmn4QfpHbStxSjlrlRI3qlh9HO0GNq2JOvmS2dIJMtN
vaYbjiUWRKJy0FDjS23eQbP022XCV7FY7NQvH9QFgy7d5Fe+/xT8Z8dPg5BBqJ7Lxduz4/TrMCuH
w5JnVuiaAz/Y2VNnIHmHSAq2wS/9lzFb2jisCk+8XnzvF02/bTAdLAUDpn7qED9rA6/OnY6PKWOg
0aXwqKa0xo2SkFdgB1aaMsiZSN68kpk3rKzVWHsbBsSVXk+CD9I6U7+RXueL/WTjx5/zAs7XGA/6
q8Q6j9BBCf40kq7VvdcU2pclmdbzvI2uWVYln7WiU3cNpfP+8vt162/FlQ3JKeOvmBN6vozLiNZ1
3GraCTlUe4ShI9N4hocp5zS4BpyfxINhf3F7JPmxp0OHCgggz6cbYKNJQvQPbporp+uluUtskpZw
C+DvDbJo0bDc1vn1YtWHUXJyBn02DrseSfor4y7P2ZGniyeJS2WdypVcC16D34JSfcOrp6HfdRDI
WHShN2X58Cw1s3hMaKxe2ybpbjwa1qcMa8IuMQ3pbIgVMMn8HuIjgrTkJUM4Qz7VbOOO5sv28JwC
5utxDY01bzJbbG2LvbSr9jbQqCC3234KHL93ApU1yxs2wnnPZsnf02yaXybHRP8QybLkIWuSb0Hf
mqX5zs9En9zlBemPi484b+fUjjEZoWWOfMPBKLHjsHXOuzO+4JmVIsHBJnFn1Dsiui0dMvFIxpu8
vU4nu5NFYiJY9fJ96WG3oONhE0R0elp6e9qU7rGvrVcWTcNNaYsX7CYz+07awIT2bdFwoOXFbRmz
2AK17Tg7FiVRyKikCQeRV9cxylWyrQZP3i9LUT90zlKeOsqTHb72EsuOpV8PbNwI1Wwxn7qOdbWw
RN8avrVcJ1ab04JhHwunwjY/KKYpgV3OmNsjyTxzUtMQWF3OjWFg2Axpi7CkA8JGdNWv0oAoA3E8
dTx2G7O7HUw/u4dRnx8rbbIfejs2tmwi+4uGQNDFE+xFFLfm48wBWjsQ3i3c13HR0ttI11G0ySwj
iZHgtZmvfmnQC1ZgqidSAeoEzntmOsgq+Jn3hbw8b6Nlkl6exX/72PqCBfE06sl2SEYzheNQLR+U
PYvtkrXJHeADSTpEU5MlZs97o3VR2qJKrHv2rQ39dzUvOtPIgkkJ3lBmsENlM/nkoNDJk5jEZnRQ
ckxRU5/wQ3UvPu/fhG+L4/jAhtmF+rXETNcxrYfajISWkQ3G46Bccb2BaIchJPimBiddwYORGFCf
HDcWS6gKmYcG26nj2Gc5I2WZJrjyDCcNTKdBzOOPChlcXGHmLN8BNrdbmc7GoY5a966eB+0J19jq
ijEY/fvEoZu8RNEz7PUW+YCnMb+++IcuEB/DGTmVOgenyeVkafM++oIXOL/GewSVTl9w7l3uIob8
qDlXZghiL2JDNMGxOhr1yKkx84SRNYxBBgry0FSFYXE7gKihlMTqxJZhpQauVr1iZEo8CbLgggTr
dnXH036+62Rez1iilq82KUbc9vGfcul/Kpesy/jyvzeg90la/1Ao/f4DXwslT/wCeRKDBtWQTdao
SWf6tf30LNiZLvQ5mkGHxc7qKfnqHKFSgtVmQELAIcLf1s70/yslQI5kDTCppZjSGe3+DeeITp32
g8oGOJe+5ne6+qpNsn6miUWThrShsu3DqFY5Gt1cfk7WCKuL2cqccS6iQVx2DZz5nQ6nnkCmHnVa
J9QHu2LBZDkZGxqTHX2sOAG+a+UffhfWfM/l/VmwxG9Hd46iwsbg7tDX/1jG+RzC0MR965CNFnv7
xGLdKpLqprIRigdtWrAAb1Chdxierd9XEP8VYIbS6KfPhjk4JSTeHYd+3bFWvPH30q0ITVzjDGl7
iOLotWzZ1gzTkPq3uc+9unEa270B9lU5oTk77pH1efpBZ6/7US3V8tkdupZVyjKb13ERd9ucZMo9
SXpDvoXa4JzcxAP1o3Cv4vos+xu9MZudxQAXYN0QkSRZ+isUvyvvE2MWTYhpQQ+FB3OJWsx1N8OA
LiDwhkRrme86iswUx3hjdY2mtMuSAG5GfURiumwlc9MzJ3CF0gd0b6ChCmbV1/qENzNjzEKWR+JF
k1LbIrl6GoBUMCtf2jXjy2mqO/BBzBoTjUhsWZvjFa71iKnhYgYMqglJX9xpbIOYDXfYJFUSloaa
X6vMA/KtdTgmSYWNNo6c+xdviihWUfTR2SEBYiXHF+Csce3zbkoKZ698ChrNMqZ1g260Z3/QspPo
0lTfZEz33gpArGQGuELiVFf+dkJak+5GE5E8M13XOZOjEPOobVunYHGe9E/6UCdbtn3TcACSVsQc
o0x9FY/3BNPnBOIFjY0g4TpHoFUxhYU4hJgRx7gVLyYCZCng0MSpwTgmYW6eycXia80064p+29Do
+R3siLb96oJaRZPpVA95JdWui1uDMTVpqoEl+6wK0NTpO1JN5U6i/3+Y2aPuF8OLP7eJMe7gbu78
HvEud6p/wMVTnheEWJT/9ZBdLxkkG7Qz7nsCdfNqwbu79YumJ+JKQpfqjR67vQuMwoG1YkGtGsG2
7KmQ9WOkeera9/ToGVjFcOVNydSsbPjkN2sS471e68oO0sotf6ORyknYXgg9aG0gG4Gvxy1s6HGx
0dG4UDI33HuPSaxlIFbydLAZ+gIFmh4BYyDwCloXLkqICYq6P1MRm0uv6fPPVQbdjXGMzPaGqKfP
eT6yAh3zpOTRR5TAKG5ZCMj0HVR0AaO/Qi1w33W4cJZhWZOSzGx8dVQaky1sI99ZNLMfwsgflOSu
aLX+UxVdZDws/xE1Uvyl236Q2Mwvzits/dWMH8vtEf+P2pI+snmY5ysqwjWlJarQedSQVeMN6r2Y
bSiAF0o4raLwpy5GPRFPOUqRli1/kvbVjUymtNm0wqzfu5ooCR1zIZe6Wg1QJOOddZdDM1YJ7z9f
0uqevY97ZwxkmxCU6/Nqcn1vc0I/KKMFBUhLH9oFyWgh+UgdtsaSVGdtq2K24pdlfFpPLP+RC75N
0Js6JGhjM24wmiLvR4XEEGkQavhVZHIQtwQM2OLOjyaSPBqjqd9lh8Fm02hoYC5HOStnPicLZAPD
rUuLpPXjnUqN5bnocOOyEmAYlHd7FRGUABeIJd38bsNeEM013GTB3+C5+RbX0azHuJxqHcTvaxWr
Iu1oUu3qfZh7BmazJPumlotz1zI1GkkkGWsNtFef4ozSZEOsglHczxD2VODUKaKpTs/UaaD3ubdI
D5UBTuPiXtpFW4ZVzGJj483spVXt0ieJsU/KGyTk6M0nfgOuXaT2h0pHMwcCCkxEsJh2NGyqTrof
tZFWJeDDyf2wAIECeMtzEMgMCeJ3pAHu9FbrWg20a/ZLYEfwYyJojofYQGqWT139a6f3H2ihHSy7
fmavrch0AkRqFhstJ5Zh7+GXsYJVZwKIpWadYtlZtNNpKm4Tc8V0adqMnQ7nyJORD4qo22SwP9lj
5WSMFvUEBUy+xQcG773AE3NjFRl5kcmY3BBHK6F6th7qIjYP9tZTUj+aWoFZ3GBHw/4iomrlOUMW
jOmvvgGyIFFNl64ROnbXecFQA8vB2LBqMqrJnDn9RieTG85xqCuxbe1UxIHflegt/ikc/5fCUbeY
PX1X7vxhlX+oPv8Brv77z3yrHa1f3BWf6RJ2Zlrfz9g87xdUvGiimXyRU+98ZzqmdHRtCkTByoPa
5VLRfSsd3V8YmWMRdtjvk7Pn/q3SkTy5n+sjHREsfxrlqeF4xs9oz8HoknRJlHZgYas2ZlsU71zx
URwMqTDoT1jhI8rs5iXshlVMluP6v3ESWd4uDsLKUNerfBuJdKRY0sv7JVLVR19kc81MLcfzwk+V
G1VH/a5kifqxtCPknxSJ9zKdnHXWL81b+ikPTkhWxiXgHkqI1PEeXZkXZ6mG8V6M72Utub+7JH9G
0sQOFq0tETZjUZEyjarvvSv6UgUpabhLoJmxEW2UX7E5NnsXp07jtPmviZZjSzV5RnALGZKFhTGn
h5zdYgdEyR+AZKrI3A0iWqyNLUFesdL2XDOU9O/AqLzM3LcIyZKAxM/kxszc0aNXRmEakLDtmFRT
xDg3HbaPGinp3dDN6IdNLDSx302fvHKs3sAd4WIdvRh925S3p7nJCAJPUM6mnBnwhAbcciVbUQh+
IdTc6W6xVf1gm3PtB5On1n0DUsl9wUr7zjNLdaLdpq6fe9wW5PJSIaF6yIdwrAYZQNfaT3BjHvS2
w36XmSUOVLhapiq9B5K9mkPUZ/2jOU9Mobqu21rTbKIVJpyJcRZTFLsnuCebQY4Bg0yjA1jU9nok
eWhFVNp+HKRw3248VgpVKLW5eDZhaz2yXZcMafSJCL581F9TN49eYZuoQzPZ7Xalgd1MCwdZX6Xk
wi+ztUZnLTekEA0vRc7CGxFDKVmVyPaYeN74BY/kAgVj7gFhdoQ8IkWsim1DxlSG0cJv2Ufr7nhb
aJyoge+sfMs5K7Zxp1p7H6clEWtGNnUfs6wocO5SWSJ6as34ofL8Sr+ixUnPSZObL2zhmQovNq/G
+k8+onzOdmy8raNOrj3GCgrRKyqXuAvmutkY/dheTbM+ngkGQH9YZuoND6K8ZtPk/zbJyZU7B2g1
DxQTXfV2wi919jNnmcKuhwD7Cs3UeUislHp/9CKNWoWE5E8WU14cxYmRbxmFlBjkej1EF1s98T3m
H8DkJQ+uyrrbTp+Ta1cao7/V66nF5V1ZG81B9brhcq2fPLMV9zHiBDA4Lf9er2PrltpyQIqIieQO
cXXNw34quctfFcZCyoDi96IgV9gQmmsMTGulUGPe6lG7+OOcOeeOOCJR3FTikgVkdFrPOHhi1xmN
C9K+eRrN+Tqxk+yqnZwH3cuQqVkwI9EgxvgnpP+o4BeP2w7I71sU+Szmi2gsNu5g+V2YN0YNGLez
H4fBHhAbpjoAV2LKw6RKxZ3VlOqmRyW/BxmARAMRZohfOd760ZhvPQZUrFnN+Rx1TMSCdByLD4oy
qrxxhl5kD26KCtDfWM0yiEdrIQeAOhGpkX1nUIVeTYN8topkOmm5x5wNdeN0MOV4PcaVc4ujS+5L
NmGbQhXLvhnK+YTYwzhQuLYBnID4gFu3OE0gQM7FhCDJyrN0F5l+gR6KL5IJAmRFvG86szfk48FQ
QuYRfXozZtcISviTTK0F+Ri1Wz813pwIVpGdaddZZgRDy6gJxDFeR1JdQtV21nOCBfEQdbIOdT6W
net73X0qrDd/AKM7UUVgHB2122zRgXOup/U8MEvV+wYCTcQ9MH+W3XgEWVqEUS/gThmA4nQ/Fzto
tR+gGBO7ntXPnjsja/KaTzbf2JYi8yxm9tgReKDYlPfOlGUPfVu9Qh5WAdJwN53pxkT9iP2tDErl
9uEkkMyLKR9ZLzD+Cgaydq/cRM/D2UGvNYxd6wZL4ty2qd5dS7M79lkU72bfG/cGA+aN3s04Oy1Y
FhvXz5NrGbu0CNTUy1uC/e/WV5O1cxhLGlxGR4dv+0bEkgIT4uJZIIncU9Jqe2tmYtzP9XI3yyiL
uH50zKmp3ZzaefbP5iJz5t1pX5xyTU33ji8/uzU5rHka68el9NstOfVeiT5L6esx20IG8Lj8nmhn
442t22TqwBLcLmlHzroTz3cFXjX6L11+WPKYXsW2ujvsRydbai23RM4ufRy7u1LmZSjLonwciyg6
2UZkBda6r7JrMSOXH49+JCDRGmbyXqjoPelEezLIq3wwlK+OqezMs5P61eMwgeXtTee6QybFbIJL
J9PEi90lLdA3/kLCSRT64IYBILmfJjV2LGp95HHoXHfQc/zdgBr/y0rGvVumbTcsw83UW2YRyKGz
7jhjtJusT13i9pKyPdsFAES6xvxourUZ2pHR7H3VJZ+sAnZU4DNBDd18OHMRFnc+ru+HzI5sWKqO
u02dhUWXLh5cC19Nj+D5UC6m+VB4pr/Rhrm5Z9D80R6ls211LX8s/dxAQO8aLzSI7a4j0FDnykgY
11MXrGYIt9qxkUe8QPDAHg8GxtHR8a/tbpqvKi9VB6fnEanyxTloBSKU3x1a/0he/0rySmjqnyp8
Xt6pI6u4r6vvx6xMhtYf+1oqoyT9xScx1/kmeaVW/abyMSijTQfv2w+7aP8XZrIIggQ/tEp/+LO+
lsnIYMnl0pHp6Iw8CEL5W4KfHwesqGYJOUJTxnRXp06nKfhxiLjUSwtAenBOJVtgmJ+pGla877pA
m9ru43cNxF/OSy8vxjx3rf5BDvF2f5qXxraysLX01gnWavNWWTXEFYSLzznwOQc2jGjeYmh47/6Y
/VWy8o+j2q8vDdFBeN4qE/45ZyjVch1nlm6dFvI434Ala/52nKHybN0BTIfpKSh0aINQ10OqZXr7
5+/8R1XV+vKuYRmQZehs+OJ+fnmD+qBCDmmeihKfH26GkbxP0eOTvk7r9eUoXP8qS3xVlX03PP/6
olwqFnN4ZvE/53pXDYOnuPENjtzKQBnsmQejRG6/c4nFeG7wud1YKRMVEC8DlKAEE9ZnNlDpHigi
n0PLzAOVU5ypq06TcbTFPGe902kRPhnZo9CPBAqQSpsu0NuDrllp8qqoiMr+88/uxz7u97fh0F7a
9JE6yU0/iSW8idJHuYlx0geNa2UoCLIsBvJFvQ6OUJHO9VHldvf5z1/1R7rT11f1uT3gSPHCP/t7
2X+5GZFJ+iljsv2EXird8yhIvgB+pbvRF/CcVqPf2TA8l2BOhr8Xyn55fdpXdCqOIBsHdfuPNyZD
nCpvc6WfHI2Y1nS9YWZmig/x2Op/ldnyHy4UU1+Dxz1wWehSfjoEQA/0lLyDfrLWIHGNMXm+Q5BF
DGlkmmTC5pb1zkNovTthM4Y8mrlZtAx3WZYn2l983X88kXCAI7Ix0ZTY5h+uWoMUQL8VkTgNyKZb
Nt8RebYGygJwN2si959/zf/pJoHeuN6X/I+lFqKf77coepOJVDNH4yS7HnP7jD0ad66qj4MriJeW
mXVAK10f2zblKgd9od/BmkVog0YYaa6eLfVRc0Z1jlt7VZcL8nT7fO1b2Ho8JAmLff7UjLvM9io1
Xfuopovdn78J5Ed/uNNXPZMloDmyfvtZT5QVMV7u2ddPUZSJdres6dyX60b1ZfMmJVEchceQtpr5
AKGX+5BiFhLNu9mH6z5DxgnS3CI+fpkWsmb1SJDPIYU6//nv+Z9+TWRVpJBb/LK2+OlO1pQxjIxW
9JONMQlp4voxU8mA7hLQhtpC/tWVvQ6afjgCHfL9GFohaQUe7KEB//HbLXsEHgL4+2lqzPp4CS6O
fGW/R4yaGQSJ1eKFxdMhUiMicRZwA43BNM3+Y8oKoSHuZ+4/mzWAsgwO115o3AT49zg412vi8hF1
PDUcYA1YYzuCJ48zq8wbpFDWwXB5Q8tMSvmff4y8g5/fFu+E79nkyjUsF33wj29rgW/ktukcn2o6
/NAn7kVuMlfL7luzmPurChHGFNKIZj2EDa1wwnQso2TnJzGjbTBGEO5n1aDNz4yR7ClEqoBMgEAk
Tof2lZZ4NgMNTBFB4ObCNESwzP/QaGXcb4SLATeY4jmxQwLbgG6zW+bOyLoJ1WaZODRfGdNdy2uq
E0j45Oh1ZXZDuE39f+ydyXLkRpa13+XfQ4YZ8EUv/pgjSAZnJqkNjExmOmY4Zjievj9EStUpqUvV
ta8yWZmUmcyIQADu1+895zvnIY2CGlx/gzZE2bnxauHKZcaj86/gSKwNrOgGapWeyevQ0xB/aq/S
+Nh1XG6Sjv37RI5PwfzHSdUyaeU4MMXCj1Zu1ZqMpuhwQ2cLDPXSl/jCALIFwaMQdbzgiCTKIRoK
9QDOWzZ4MX2hSQvt7PCDZJUmXE7mXXaYp5nmfQ08AnlVjfPiGDGEvbYldNiVggPCQFg80gngkBS4
mP/vjRH3Ezr8rvRAmtscewoGNeouQP7SrCfhxtEmTEfxIuOebTfjHkFRwSPnIyyGcUByypbSQGwD
pP28u8rz3lscfsm6DFltKAFZiAfFLtAmmh/TcEriTeSUBtSfKHdXE8njNKsyziLszFZshYhByt4M
1Al/fapvQOzU18bEmG0nieKlyaWSKTy6MkEok4nua1hiy1hJOybSNaHtLhyo9CAUGAaKBHRfpd5G
fLevVouH3h7CiQlEaH/orgLwm9TtnhTNaGejGfu1EK33WoEGW9W+ij+5UaZvEpVMxxlYlhsT2rRa
x2iF9+hw4PXQ3lpzYxUmLcyonIgz0AwiVmHVfbo1B5/JS6R6MgjayfDehG3mkuedi+IpGMApoJUD
XVoFmyJATocNRrvMyslawy+yiHwtZFyeWmOfNUhQSTRKHaYnmSXUK+Ji7Bucu9Ky2ehaF+HOYJa7
z2lMPlRZxpWGVFVdmeANHFZ7w32vwxHQGFFcSq9QaNF/MVq+MR11bApaM9EaAsG6AqEu2ZMcUzE2
C+ki71z8LJgprQBpQtPyzfqAcXJao5Wxxk8dbkYxcnuVsuWrX6BvTeLK+z4IOdLP5LoQ2o0GUSYm
9WqXh6xGxei901oUL6ONYbmdMUf7PYZyw2UdAigttkUT10B0eELDNTgQ/npde7w5ThzVFWVd9NL7
qHcA4lVXGIjtp9pc/Jka8/N1R446De4hiLDE47sn5Mnq+BU5o99ckU1qnTF88Qsg4eAihB4Xp7HZ
qQHKO/yJJrbSc1/WLDHkxREwD8njWgTV9GB7Ppt6YrCiXtZIajhYhR6baIDm/BBVYftZi+VSisa1
ntq2X+aEy7st+p7+tgOe7W6hUtE28hJ9x2CMf81y321uIbw1BykH69zPfCODS2Wo7dF6GqxZbBkw
6Yc+4bjh5CkG6chme+4mHPt6qR61zbW3Cs2H4pHklbJ4aD+hLU0P6fJvAyR8QjxSqk8zG7z3MGcX
FUt5pHJ221rI+i3FEuHQ3W71w6VQmPEEaBicuf9uL4RCDD58tTVvhh5k+knjIeBaUA4dq9owz4yv
DbzXkYlgKs8q6NeoJNb28m7LqmbjaSu09nSiHmBUUYRXzGy3npWpt6jP2c0xcRvNNkLp9+63M5Pc
ofJ1dazbhnc+8DPDCha6nq5rA/3x+lLg0McW22xOu88fhx9n2ZN1KlIQiJ4mvQOqXQ2eH6WJezN6
OryOC4+ksMBp8j3bDm9Q2RMNv9Aox3SrCiv6yA08BRDDl0fIirx02g1Ts5RB7DzdphnvQ3dsP3PR
8h2pKKS44z+FtNiAcUyztlXLUYUBfLK3NB5olgHn6PNNn8sWdhofp7oCdOY/JLoH2IetjXc79CTX
wwGzzt1ye3plbp1NSeb7KnP7JUx+oFx1w1T3N2qURnwo4ogzoOWX3LV9PIfONuR/13jguIFxE3LN
OuZLLwQIBNj3wzrfdrWJMhZ+d7KiNeS9xwUaBcioS8PzsghkAFAeiMLmquQZHFJfe86RDCIeOH95
eWIbII4tT33eWeoNmWN1JdB9Hyj36wMSHr5V5szhhiyQ5ToA3bgCox29GLHGVK2l/96EHc8r5Pdi
aydEYIDo4olvcLgMq8udSKiR1V6NCUuAZ1Gjby3Ehw41bS3bO8HQfDyG1fIFQQBlabLRFR6KxhIv
UBEnOJkcR9vt7MNFX9khMWeQQWTxSBS49+6k0ABsA0LrGocIW9MUWgSDNlxkx2ZYsGKdFzl9baHe
YAbxoNdosu4un5CdiBoZPqBEpgPe4XLgBUuk3mbmeE+0oe2nhKUbLTdH2qe+5hcJSOBr6ZYqbUac
AwJuuTsv26aeTe4oFNPO0QkXyMzsKXFd2qHBgMYuEEv0nGSWq9ZgchSbdLTQChBNy0O/MA2yJHLf
Vd/xvJYx0g0id3iskENBuEb7vOsZJ4UMriXLUZLxcCFOY3WMW1rwq5hbnnCrLJoe4gSQPzrUoEbs
QhD51kNA7D1MzbhwLUY3m9dw+r13oJLcNfxp8VJOJsfWvHePWV0tsA1idPNTMfj8dM5spH60THvk
FokyLvS8bC5Jeln7Jjs19pW0WOQpRVD6Y0sG8rNQZqqrywX4sRYtB/chtVkXloWVfjI7zuXejSQx
uqupU2CWaGV/EJwb3V/uT9fuoz2jrX5P59fNboI+5BYJzb45uF42nGIJ++u3G6JAIPpdAcIf1pi3
mgPpRWKba+W9S0RyT5e7wp8yHorMjqyz74J8sOrSOuNV5CJk7SLi8EvQ+bhiS1YiPWfGOkCQ1O4b
D1T/inhUTlUwVdUKuQi8X3fk9zSFULNhvbfOlstH4JaznrzYhzdh5ZIni+kCOwzIZmcHMG2669OK
1d5JrFsvsEm0jGduahNuVA8hgkX7sgJiwM6KSxQszeXIWLZvdLnMU4ORx2bZgMijkYwScct2LAqV
bIZoB/FNsFz1y7tN+47HzKmhau2k0tNDwSiIWCeOajg8NYWfJ/ncqPJD7m7c3Qa5gM1krRpqofkR
nlAyHbp+KONbq03R6ZQso2eCIHkXHkl9kFuSirvdtKK5eeq8niJEGpl4MUeAcaWals8biPHO7e3g
sQ+n4tZ2vK+xERnrTKTtAYGKieeNZweibfpdAqdaBSDzEBxzpEZKTwfcmdge00SxI+mE9J+Olqeg
QtH+S5ZqrnOi+EIrb5yB9vapszNLxC4rWaOoRiBTHBOl0hvHbS1rza5ZHDnZT4fSUqibcgWIKwLv
hvQ4p17w7YnFkCJzERvZHREqgKnMU70s/ieGIzQiRRxTU/VuxQkmL0HIVGDUSrpsPdmayEIfIRDz
9RB5xP/j9uMiOd5MVIeJIC504Ig5zbL41wM1TrGUdHUcTg9EQFHhTbWx7uuRZ2Y5KGfwL65GR/Co
ipiYwJXZ8PagS9JssivqAxcFJHjCy2YSxazbgCuq7FtFjcnuIpTYpssebhlp9BKFEXfQ5WAo0XCr
E5kPiiWvY02r/CmIruinNcyHQCwSi+keRyWss5w88WIZXftpzxCofSdD2cPt5OxK32b/xALI3VpI
VqvZT+yngVdeX9ZNkWYsjvidnK2uS56JfKk3VQTZpSC1qdhEivbVOLnqDZv6uKo61r2m5hHqYPjv
k8jITkbl7Xy5rMzzXLEDcbaLD0Cykm/u4Jvtlad6nrjOgELlZbW4Ria2VBg1PRKDnbnIytBlQj+b
wZED29QdWs43aD/7Zl/BCMCnadshZ5XOezdJMnwKQ4uWnSdYlejzcEmCFKYoTkObk0Ths7H4OMif
cNtjCqiRsC0jqXMzL9CeHyWzZxbffaRPK7pkhQkApwjCra87e8crx09x00/PU0yYDmGGybPqJdN1
nhBWZ047MIxzuw+YjRamvdauMu4aw6+ALMyiRPjQONPBlp7xtVeO95mKfv6WU1V+J5Wrpdwec5jp
vrbpXOAqBbtLFBzNlVdsY36z6aOIADHAlWm9RRxXnzxnSs5JAK9Mpn7ypVCdfPSp8ad1X+R6k7We
udehp8/CUdFzbATZ16rW/E2kXpEtmhilkHdzaXBizU054ifocISucAn4//FwYx5JOv0vJjxLL+Wn
BsxfhFD/P3//eC/ef57u/PiR/9FB0TpkEOMj3bP8i1D+dw19+IsbWDZ9GqzUP9Twv2voHSIb0NxT
wdDS9n3C5P8x4XHMX2zbdQRHIwZGNHr+rQnP0gv6IV0/fv7X//Pc5YDlLO8ClZZNf/dPzd0UpYfb
Oq5xIIQFFQQrOkYt4bZPP12T/2W288dO24+XCXBaMk8C4cgD/aeWlNXCspgH49DOnNuyqmC025vh
LVwqBsl//1p/7CNeXktYluNgZSCd/mKM/7lny3eRtmJwoiVlVNzy2A03iH6ckzsDBlXYseJ/8YJM
aP5yFQNH+DQR6RUDJzWXFvpPKfUTz2ltBU0EvKFBQhax7V1XTS+rVWXQsVmHwLResMM5kC56OTgb
j4UfGn41kndWe4zHvWFwySqbKIbUspyLajEJaNGYHyVsc0Bc2NTqSIr9OFMfw5ElRRnN2Uk3FiDl
LMfEZjTdM33lEvUKpC0jKpJzpDuo3jL1yo0DNGuva5O9WLZ6W3dtcW8b7vxNUKWAzHCbl0DJG7PX
CHaCvIQBmaMcJmHqxnWR0K3j1Onv7bYvvpOcVt3Ozpg+2zSEVqUZ5TuPnEby8IBNE+IzHswqQhEw
1/Y+HMxq1ZC2vEU0j+q2Q+NAL6s6Nyoc6QhkzruZS+OQ+2O9mRtjPNQ6B6VBLmDkMwuzq68tZ4pr
nGzTPYfeuMc/NRLu2oQucg27eUsyQ4yIVuImaGv8SGQBt2+LL0O35GKrdBeUARmcY8R9vqYvaCra
HEX50Td0XKidwy8p8/UHIU1MBaPZis80bFW6skQTLOA5XRH5lCZstJRotEhCJ/7I4hyGXlK6+a2Z
D7TUfFdW10E/9le6L0cyvGf0OUQ+bGw7595LZ7RTbpJ6t4lDGNME+S1aaqq4Fv62tdD2AT0fdtVk
drtw8GmQTZVffGJGjPf4EhYznNpIhwxwKULUQdbsxYgGuTgxR9SbmvHsF0w3xr1TJvM18aEwZBmA
ZUd8vKaxgU0dQdWsjEcXrtgxogd/GMbF2KaT7BqyZv/J6av7yKxFQDZDQy63RpeIE5eg3cSR/7Xu
UJBZY3PmnM6pNoAetFhyYc+h0u+mFcf5Z0Htzk2q8r2hCBKcgcys22ks15XtQrqDCEqroLtKjcZ1
OGdIvfbNMH0nCz7iDwe/OpiVNzHb53YK/PohGnMbyWV7R34SAhfQNC63Nk8PQpPhhirI3jJ++zYV
gbFDVdIBICvnj26JxOKb9T6gHma3SEPsTTZ33UPtdWSOd+FDXYtk23vzK3GVzhnAPjA6PbdnI5jn
7SjwBKDV64kCEcNOF+59ORZfAieq7AM863FwgewMsf5a+gmqjGjo+2qD9o5GDjAlhHO4V9Jhk8ki
84gdWHJMdV5TbXCO09ORUE2pi3WMIwT+oQFs5SVrR1rFK+Yf7UiVZVT1htNAmz652IYlfkl05eEw
PgW6i7fCagMENzrGJwibAkicRwdkCYUqy/04zH7wOhmuDKl1MhsoVTjS/E5yQ4e7Nm0TRN6y6HyK
onGWD0MGL3LnqGSQZ79u8ABXRVOOd9I3ZOislF+3MfobGp30+6LRe7NVvGhzzDIy4u3YYHl5SfvR
8Hb1JLzgM5hivqi4izvjhKBR9s0jVAoC5veWIKOCtPnsUQx0bhqzZBmuisA7DCZyqiDSZPpGjh3h
EOp95+RNw2LchsDTL+odsfc4jJ9GO0LNN03ewS4YwaJn0QmZHLOg8RBXtOVaOmXUbpEfPWoCir/6
drlYY6wSe1K2dNJQkGJudktqq2VUTJFWnpKJZl1X9DM5vXVElqxBgu9V7bpUu8EQEIjot9Umb5Jy
SxuhI/rUxBJraJhzBjK+Xy8M2rozyse5xQO7Qm/Vqw0UpOJ+clz1bRE6X/NGErmDJkG3B5H+vOl9
mcdb0BrVMTRzcZt7if+eFzXvz8kHaxehY2J6QN+e2LCC98Z0id/zjK74bocNolOzI9sxQ1a5Ceei
epQFbJNVi1AEsGuFZYvnNt9c9tb/6Hz+RRVIEWZTZ/xzI+Vz9x7/XAP+9gO/K3xMFDse6hLUAhZu
wAUe8bvCx1qQdgQ1oV6AfmsuQvXfjZQQfhDwkihLvfE/MngOqYzglvl3cFEF/RsOysso8Kfyj1BP
mtCLasKnXEJav9RSPxUuzG6SmFQjfSNKzOUkLjO8AM3oU64UhUubdUIyhntdqisCSNpPSwO3nBJm
15fzJH3b6gqbDiOHvmeokFj0vLT27gpltaYD9GzCBJOtHNBfgGaLwue0DLZMTyW8IDEQPvYcR5Mo
FOdXVk5f4sZDGZpHxu3CGi1O8MUa+A62RVjwd0cFOukPBHaa03CUCO8RZ0fBZKQnxt5AMTjNmu6j
UVaBvVVgX0h6TcdmvuJaus5tSEtubfKy4HsVa+ZC1sb7584A75rCpec95pRMy5Zb0xHCBV/60VNZ
YM6GIu8c+FAsA3NvfIx0n59C2jT1WsGxvJ8q79zRxT5y9pe7uIr6d2QbCf2LgvUgyRpmOiYGaEFu
VR4QOjwTdHtKIfB4VDpzNmLTGekW11ckYBWltU4x/p9jmQ3GcRrpym8ySGdAjLRFGtPGlFkqd5Gr
PDvY28kU05cj6KqrD5YpIwuHeZENyEMe/Jzo2Bs1tVXJt1B4tl0Mx/+sCP+Xc6FNtY/q5p+vCDdY
B5Z/lEp+Xhh++7nfT4fhL9yRaLBouSFpQcT0j4VBWL/80PbZPP2/rQjOTwuB+YvFsZBQZNLdbB9d
zr9jpfbDv56aPNR3aIqw5QjX/LOiKIFr5DHVyI5FSoIW7hGg03ZLQ20u6E54HYTgrl4S4WyrY6O1
ao1pGdLTkoNW6WeYXwS4VdCm6X9k/iKAtTQs7mwZpDGvJNBLL918BYUFKV2a9PNVlNCP2Zatgr3A
cPtGQEA48C5J+9C4pbPzJYqLIBCGfHWChbuJHQyEqev4D7Whg3WTQr4NR7r2l/AptSR+EagDF+di
sfZLEM68TbyQJI6Ci2GR24XmwpEgT+DIeAh/ix+7RqkONKiXaoUeam+cwksZowGYBJ+DdCT0DBEY
9os5RDLZFr2cqIHQNnlvsSk0tRHHO6QMVedkVE1jUavxrkaPDRxBhqM8z8KIw12VYTh8GKXp74gF
KajEEgbb4c5uh87ckJbreEfLXf6kBAhOGddkivzdpbqjn0uh51+KvuhSAFpjODvhmhwrSy7Pu0+r
zF/VpfwoyEK9HQJdbStY2NRtgcb2gRs2fEXp3MG2YMyxJaaDnCZKh47/WpE8AKQ3rYdzEDI8XGem
dDiQOdY9uXfVZoyi4bXJ7xFJ5fuiKZZwmzDfh2KnOBKl6yH366umGHe1WyO9iHEKeJ0KCGDp6eUb
WkT3g6+n50x52asZ62zF+TJeO15P8k2Sed+MckofaAFOq1pM9QanjNhhQU2OHeKdN3JqwOjEcbVJ
gqY8UtGDGI3yA5tCjt8/ze6HCS7jKjBkwFSlJjZuRAZelcdJ6CcQ4kNDbLVoP7yF+13A8t/QFMcD
Jf1ia47wQQMzb4m3YwuI5yR/rgaA4zWagD0TJfHVJ1sJEXjUpHfMFet3ZsgeuWMQIs9ChxijsCob
J2j5/BQ4UxOxGIERmF7mF8fOn1JDYWlg4iUZE2VfE3pBL37IQ+WOjrsj24Zubobt0q/pk2O8+BZF
bfg+T5m1FQoRPIl0snvHjbpNZzoDVjyCslHj1eDG3m2etfnOGWb8Br6MqkMj3exYwcGlox5Yb5wp
wrMF+ydiUIfhMs2gn7sE3dI7b5/avpK3zuhVh8wpnCui6qZzHsKgLBBf3CtFk70fVPpal3H6xjea
76epd676as4PfVmqcza7+VclOz+CmyODU9I48x3nrOG6wPC5YULD2C9SYfCg067IMZHi2jLoed6E
unFwHJnYR0ceiUM+NZGxUmGSnEpfOrd92LfXeOSSLxO0Brz2ejRvVDYkRHVn9VOf9eNjkvhoWDLJ
UXVKxFsFI/OlGfzuqvMqUpSnPkhP5hzM9g7lEfAbU0RHNU/jvptNuTFTEe4gaXnf0dnXe4RU+suU
wk+XwjiWmSqIeohu6P4TVNGjERqFx7S0lEdbqCvtmRoXN0ck5sefHPjtlZOV+cGU07QqPVUhiWjJ
VMGbvkM3M23mya8/SIDpr2heJDS9NSVB6Y73aeWRVpWF+kDDyLmP9Khfe+Khv3qRNdxzQaLbqVKk
1QfaWtMjQqDSdt2mKqaUSC833Ss39etV0VfZs0oYu/O187QYBPWKIFOfxBl1+5kEoXY1RaaznfzJ
RcPQdHdAGUp7PRT47lObmihsPfv7bMfCWJl+BBnY1NUGJuUT5+jhJo6KO0Zc4mxXtnwlOBY5oCfq
HcEnxrCCeW7ecB42bwSJ02ejKux7NFo9GwUqwuuqsvK9yKfbvKartLJ4UE8INtzNjHykWEdjNx2T
zJInVZELIkN/CZZ3ypseNC5CN5aaMi8RUnrpya5d69HX1DJrszOidVv7+mucjhOyMyNsGKS1aXpo
dVt/ZDgtJjPNTuwlYktTzv41BQp/zFsv39ewm56sJm0fZNBhce80RzoiUxj3Y7h5bstenCcvmImj
Vsa7qnqTHc0aH3KGbTSnqja4LpECfgINSjXu0No7lKU3ngxZDPuotYbz0DXOyc7tEhRhXb+Mntfe
gSCKNkTpzHuHsu2enY1ZuOirj7Arg+/0YjjtM1xnyijk50hPYesms1hFndoBE6a3NLXeJrDMbm0A
jszWwmiNY2hl6bgy23x4V0VoYbS0Rwdb3kxdnAN1eolQ2m0rUp+PoVck0doDlPW9dC2cJGKov4SY
vPytW8niw5EyhOQ7RTe9FYVXQ1gCiYCpcYxFeBB9ZtPjsNnf0P10+blzTXELK6MFsAtFrA/b6sTQ
uruJOqQHqZt55zEPgHZgy/wSuh6aAQV7bt2S7Uk+qjP290q24fVsCP3NdPq8X4k+WdAFXOOrfOyM
pxgoxVudVCw9mVEBnGuZJy+LtvKZR0UR8/+wIsCgdM6JGZUsSyDpsxBvP3gHL9wHEIqXe2IEpIc0
o14XFsxJPPjhe2bOamcmzrvbt9WNIUuwbJIunWVODsYf4bIMapuDzmyuSZBC3+K1pzp3rD3kkPWg
y2TJSbVvelAVOO2h3TVxCdpS2s5zEHYDTSwj39V15e0NPy0VmkJUJP5io8sSnImVo44IFdr7gJTB
r2CS8g6+sKIzMA7i0fJStStRDO7MuGHACknKXReGcu+yqAbLb6NbuM8laYuE81a0LZ3rMGrGxY3p
mje1aREt7wPPQMG4tRKj/hb3uNzoWoziEHV1cEAQqtZt3mr6yLq9U3Ou7hYT6oE4NfswEeS45jRj
rMdxFvM+ImniC7WA/TQ5ItXIq0hbCgujfyswAO6iTL16dR5sjVTcOzYRNnw+E78ddUp7sFny5Crt
0pi8g8agJ2mTUB4AH4nYtOv5a6Kaol61BNCd7H7aeMxVr3QWkrsg3XZXpJl3F1Gb7khyL656eo7p
bgxBJ2yceqb+QILenx3Z15u2bl5KkxDUgT4dMLfZdPfsd+UO8yepdx2YPgPWysEmEuI2sIKJXSFI
3ijQ/HZNTikFiI4OvUqjtYSfaK8Ci/zVo5dLnKgYGe7GSg0415DReCsk4JSvA810LNDjg98gT8V8
OB59U5e3HZEKPCeOD7LQFsEnhW+8dd3MxrnNsgKCkmKag+OEzsE2x8eBLvizmVX5s2tTA7qSUQmu
srq+VVknrubMp1qRXnREudkXEFlSxwTYzQ62CofomPRDM28m6aSntEMvhAXUSnpKTFEditqW7Ten
SAN8tKus02hA0cohrRtIIpu6sCHKPq4xE7QOzf6GcWPdWBtGsHLdyXo6xSUcU0nh/zr74VXq+k/S
J+uqt5NzmXgWn9I9FVlg/Uq6tb0CKZKv68gnCDUo/FcLK/1RG7TShxHE5OIo2ipnfm9i/ZEExn2o
4FsL9JacrZFhtjW98aqDjm06hrvOEHhMHBGuktxCAZPKZ74WFDg6dKEHin7j5BQ3Rp5gjk6cG7oU
b1brMpAfOhBzwNA4OocNx/ScC1OMYpUXWqEBAJVTBS7EvLhmjt5DGJSo8YjMvo21a784TZnTDpkQ
EZtwfndWYNvr2ZjmdZTRpJ4rDanXLfYBDvHVnKTOmzbsac8oRRFMFe5F5AFp9+NsrfwyuyEGOXs3
2mALxz16KpBPHZQR6ZNnt+YNHupkAyHQBdLWsM3hKEMvEYQ73XbzWqHpYw6NzVhVnTyXRs7Ojuji
1jP5cGmYQyHvCs4JkNZ/ADV/OrX+L6O7P6rJL+M0mwB4dPkOWnLOh39sEcWRq3OIQ8kxLRAegooh
cLiZQ1ZpjxixR9cs66+KWgr/MbSQH/3Gf8qx+utgjb6baS+TSYyL1p99NhBoGl/PKjlaExHTc9oQ
o5LkMa0ckT38/eekBffnSSiWGs40y+mXltufPmdSJ6kP7piXIvar3PKMaHAAcFe//f3rXLhfP/Xc
lpErE1dXcOjHdOD/OYYP2B0CoCyQxx6D1C4Om0WcSwMoL5Purm4yTBgDPhAUm27xjriVEzW9emID
YXpxuI5QoWz//i399SvG0wV7O6DXyJk2oAnxcxewN7sw7jhlkPpczjeXpEonHZk/usA1LdpNcfMV
IAXfswX85/La/+ko/4uOMjZD7rB/3j4iMqxq3j//QOf78TP/6CnTHnYdHIPLk7E4RP/ROrIu7Wby
A3H3/cZK+b2DBGGFHCGoxzxMi69zaS793lpeWPEWCSo0k9i9+Uv+nY7SxXj3023OfcRADswLxGSH
VeTP3lGziJUZGbNxFf4AY9PJCnX/2vzGzv5B0s5gIMfpPsBSSm4FwIBi3MpCQAPuMICjvpEnV9BB
dm5Kw3ZMAOVGF7P1sYIzj2n3fZZ2U7TPcLInybX3o30886tRf4AEzms9m94w1rNcgfrup/jaGkgn
nzkhhYGB/h6iAEbpsCxOkGzoM2XExiXkitDxMN/ssomWoO+OCN3HtJ5RHWxDV47BPQC3Pha3SdJt
l0oRpVcRkku99voSQWDeNzDFmUQzoFtLr6rZbv/z1Pyfuq5MKf5WjnOb5e84e/6gx7F//NBvz41w
f3EXijhjGIvhB7kwPz03DrIb5DYIPs3F7sxv/d55DZbfYd0GqPjzM+P8wkDHA/THiyw/9291YT1v
EYr89NDwzKGRwV9r8Q4QNv9ZjtMMGTZAH9oMMlCoRG6+6yDm7pyiC+89dADVEfwMvJSujWdvmzV+
bzzHhMd85qA4UaZPgMmWMWYhkgghpuE0T72u86uQ5NL0Dm1I8ytE2eDNY8B/ii2ZX3Vjam+EkTUb
5OtJcSJAFAlmJoZNN6SkRavaqN7KWJGaqns17wtt7SVzWbLIYlvtimFsxBsRik54CM140TKiT3sd
xqkP7zQYpw2olfgayk/nbh1/KMu1kHQ13ofOiF8JIWoLGh9VJneqpZyAcGLGZDsYeWG6a+qJJfWh
GEl0Hc8cZZdECKT2xENAV+DjQsAgvx4sWEqGBEXVkihR/MiXKLHJhyg87QiYFMPeoIjO4Y9oiijn
elIg66IfF7OygC/RDwx619YF1T/+4PZnceKNlNhl680NiO+Kh7n48WT7l8e8vDzy04/nPw5nOhMb
Tm0uSCcfxbpa42GyY7JZwpSWWfo5R1q3XrbuOFd6FHxVQuI48QJyb2dT1JyDojOOJtLwOzMNUUQI
g2by4AIVauPyGBuE9EpP2Y+ZAdhz5bTmvBpIkbm38hGJJj6/90Cl2XbM+xy3h45BbLf1bgiL7LoB
JL+vWrc4VlXX77NyoLNSl5W/yoe8P4YIDmlXZ7uiKKuN48fy1rORzAxxPm1QtmQbt0PZnvqyQsFF
O5dmb/GFVGVOeFmUh4gWBnWbp/4z0i5578i6vRvjIbjPadm9xZCu6apZ1I0qnu6XkeNOIymA2DdF
d7ld6S9ZrAx7PfY9CMYAitVoJcFZiCx6iREwH1BrGrfGFBGP0eLN3w1B41wz5Edognd23qC9yvSL
qkMOZVHuP9e+VT62mhYq3JlYTmt62860ToommNYVDsJj2dj+oppoi21Pd+Q40uTYj3kmXxwoRFdi
XgLiLOWNTy6KCxxnCmzKps+a/Ls1Ety7IucI6IusynKLDhiHB0QDBh1zcGxG7ymtg01L3hKZ9s4U
XFtMFzgA46plFNGA9uqlRCI6TdUBykNPA1nzXfd529zHuV++NO1UMtIL1Mdox1+smhBfjF3hiW+6
2AI9d9e6VeHNrPPpPvLb+FS6U/MkoZa/9s5cFAv52f6aYqW8MuYySJGcOsFpzCexc1P1bRB1dGC+
VW9jxrt8g0H6KLKwf6Udm3/RgB+/OCPIrrVXh9mXGpHpZoQSePCNrtmbiAm3Ihi7HWHsVwQF+mtQ
/vk+bRx9W4rSO41TK2Di64xtmp81bi0w6lgwZsiu4GqTuzJKp9MEGYusVkK6uIuZKMVeOGF6I2l4
4xq1BnHTKzRbgM+5Lt0qCPJ4LQ1zrbx2JPhAoGiDqPniBoZz2xnNczI3j6kygs/Jq9DlmGIwCWEa
QQesbTWnT0GTulcF2R/XZueqFeRfzByJPCJ2DG6Ilq55NPr2caYBDgbNrL76CBRXapyrOycS8wej
7qamdZmjKy5GhVJbus8ydr21X4O8XsY+ejPjh70B9dC/LSnYZZVLzouFuZ4zy5rhioIET5R8bx3k
0/nIdK0d6mvMFePW88dpEw+982pDHD04RmCHUDZGfU366JL17I9Yjjrb4IlzY/Ns1ZOxa6A+ktRJ
C+w+S1vkKqqzMFv0CKKHNlkSa6MEtRZOJDANNn62h2p0sR+Rl+M8Dl0UfmRjgQ6+T3qE8hfTGqHM
+sE1MF5VQ+m9916DyciH/w5/cbGa9si+7qRVglECQ9syVqDddAmj1JbRngOSrzW1loPrwvFywmCT
+EjWA1kziiPVNfaK6szcFKw+c4d1Z05fa/a8ByY2+vjf7J3XctxKtm2/CDtgEu61PIveiKL4gqAo
Ed4lEvbr78hSK1qidku9z33tl9MdJ1pEFQrIzLXWnHPERtSt+aNwKrKog9jQhHuFpe/CUJoVwMzk
VdTSfasN8SVtWvsCe2in1nNbzmAAIIIj6uclN/LLcUqCyxAK20Vi1swYsuU1MW3g5KY2H0/Th9qU
99DEzHVgyYQOGBL+FO7BLrUsF5frEt62lqy3RF0kuKO6sTvgCrsq8iHeiT6NwC5L6yMjU7HPYtfc
8b6/ZkuFtszuxnVCgOVD7FusIIlsjiPOv62UkVtcMoEisbKrhsu6MuODMU5zuvJKWvQChcMtT265
qUzMGuRWyC9E9BkmPVOr4NgjgscYe/yRTzhv7LFBVec2Lh2m3C1vyggNVoFS8cyqFJ1xZiYk45np
BdEcPplDVb1X/dRvBBPATzaNqk0RgDMb/PxZddbnrG1ymg/2coFoKe5XXjcm2OHaclVBKt9MZYIU
3pm6N8shbKy35v4+Mz13yzxCbuuYRGYRACR3pBHd03fqrjwSa/dj6LR8ilReD3HmWIyvQknrHLM3
rqfEOEMryWQ4WbvV+FmaonhuAQzsYoLyv5QB9CKao/yuQfCcBMVXSc/0zDHY7k0/18xe/hs9lnA1
u653GFJlnpnYLzckUwCHUymsp8bIXsMMmaaC9LbHTGRAL4iK2wwb6pFA+nTXqKw96zmQbPu2CA8O
bf0dcpJpY4x0bXM7Gc7TsmYeXUxNy6jUMDamDtKamnrYOn5XvSp3xKcgioe0p0XYz4l3GAcHn557
uYixOVSiJDSQmJVdbbmvrdnc9n0AlCOtMlJsAfBJ01jNDmb3VMyrJPHSXZov8wrlhrfNzfrKb+St
b3b7sGvJXygRv5aQrDGDEl6lQGnUS7yrkNIyOcWBgWPHhvGcHEl70wqR4tIpDQMAH1OvwuvDAzOy
eMO0kKC36mYGLrAjOwOnbm1Ua6+YQcP0FmrRvNh3iimWWppqg7IVs1vSW/sK5COLsO9cI/kEex4a
/oMSdnpYsqjGzGt9pe0Hc2POSlxadCnttHHZyPKE/QD18Ghb4Wtazu3WN3j8aOYfvGmoaDwOAZsx
o9TB7UkKD5v+bCpleMiq2MDftATHUs23Reo+i8j/8L9a6r+qpezAI9fmP7cgrr5+lhjKf66lvv2j
77WU+xfpBSRQ6aaWCauVv/dd16ZRrS5hTij+3W+Mpe+yNl1kEVhPnwEBS+DqvJLv6VXmP2k52Dqi
9sfyCTmbizAOc4RvOh7RzrrH94OcrXB6gw0+GS4cNKFgu5Zc2jZGf4fMxLm6GHxeMga76RAlzEMM
AiF41McHN5DeWbeo6L4og2hB0O7YlxJo0TWTDO9iytDgoFQnmsAmXIGAZBa6HVjy/kl0ZXklA7/N
NoRb96SgB+kVbm5SUV0ZK3yYC0o0K+nWLmbfKxWXLgdcQlhMjuU3eW5WN2oc+7tQO7moSOL8EUXo
eCRgOuhXEwj1J+bFmPHNxCB3IqjDuyIJyjtpKzQE+XLWBda0Z5AR33itu9wBNZd3DAGiHVMaj1Ra
BWJvdNSRrRS4yOjg5/OsaSsS4RNmj67hoU+z6cX3y/aAWQnzglhQ97Vt090QlZV8BPTaz2uzRn7u
xINNSohv3fuo/e/cycu2g0n9sjJMILAyHu2LoO0+0M5WeLsJKIPTNDhsR06zPFSqz9emNX1GU0gg
NBtJdzCNIb1oWQvzVcW57jmtFs57Lb/hB4St5RVq62RHx2c5os/DyZ/MTrxBbu8jkAMazojPSG8I
Fc8ORhFfj3mG1j+b8s2SuNm6I4rjYKKeuyDOvL8AOJ9eJVbpkeZejvP9rEidzaeQeoyZ3HUgp+4w
0/m99FtzvBAdWFq6t84LcqP6mIWWuifUopjWJcOebWUTDs+8zw7OiO3uSfJtzR0WEM58UVHdGriS
70mbUJ+c0C7eSA8wH2w86Bsvn6prMj6NKyf1d5wc1BP3CpYCndfwpsXo8AQUYNgxoKk27OQmQp18
2Y8mJCOK+elLO3bdNVPC+iKb1LQOnSFtKSxmygtEM+GrA65XrpneIKM0FqdieEJs7VYAFb6tOn0k
9sIWnFhULiuSKgdiskioQof5Qt5xcF5paLpw3OZKSE4qfWWicYaoveZQNu0mywin7QAA8KJZhDgU
VPIHE2vyV9bp7IZtDjptHi/XOWUw+fpuZLwG2PVLYjc7K1y1o8fpmd57f04Erk8HlZ0KdSTVFDrJ
DY5M9ym1SvMj8efThUce5zYRXX+JQY5aq27a4VZqOml7ApUahWaWIrh8IA7FvQ4QVElNNqWSr25S
s1N3qBqIP3c1AhX5KThUQpvJG69beDwcht2Nd0KndiOAohX28ugMDzu8Q01ZZQ8DuBqc4KvRCcTK
tLJ8ZBlpbmbNaa1Q8G9JLXa3qaa4kunJyAq5DLQLTXllutVek1wSX8tE2BtP02CLExiWd3v62J1w
sVMAOdbzCGhew80xgBNBlnW9qDz2C62SVXlCzw5G6w476GTmdRbR2iJL8wSqZUD66FvkaGBWrKNm
Ldo2YiVJGSGjB/9S4FMjO13zb50TChelFVjcbIaQGw8dsNzsBM4tNEMXGzQ43eWE1p1OmN1GE3dt
zd6VJwwvvQwJk7fwak3otcgJmxCegZZmdrGTQ0PbFtjA7MH2ncy+M++jb9Tf2MfVeKecpB8ONQCv
tDoujd0RFK+CrJyajRjsfLyX2RRzvI/zCB9R4hfm6H4oh2xs/S2h8Ua+M/peZV9mv2msHOmZJSUb
F5vb/yYRf5hEoEjVM6r/fA7QSta6l+9lrPoffZexIm8nDU+ckOy6PfqvQ0DoEtpOP5O+HP/P7/u/
Sc/UshjrwQ5isqf/zr9HEKYpyCrjf4CNCt/kPzkPMLR4dx4ImWUx5aA/SxC945rvbIcSOnrbw744
Ljyz7aooYg94uSDdZV41nhg+mXHpXxmuW9+lzaxjXxE/tUFpEnMV9tnW8lPzPlMcyLfSnvLrBKkH
K6hRZciSJMSX1DmqqqfLROpNu6GDgf6zjgh1WkX56O+IwUrOh2KsyeQl32dV28VFg3PnhsTYYF/i
N9tHfuTvBeWdWselEW10F3S/pIk8y9G5XvYdgqFl6QjSc+BSSJqhgX3uTzBkc0yA1GZ+FK/1y7XP
DFsdhqqO7mq8KyxoVJdnvfk5z5f6xc8L+kW5E6FSmQKFEIFcqXHwph2ieO96jCbeW8sLC5P4pdo8
s+ZIHDg9Ga+67fHmN2l47aBKBzRWyq/xhBGHYInGukmTpt/jzZF3ohPjMcs5mq1o/eBxgtnylcAC
EGIu4QBN0ThgJEgpuYrNKj7vmsXAQ0VMN3222r4ylrY6m9P2ify89i4bbW+fJ8HwIWmUIqZLTeWq
MBb5mQIgfpIGY9J171IzeV6c9aulComVDiqIK7mfrvAlolnCRO6vbduSL+1MaYn8cvzIvNnmJlfF
Z04p6hAuqdpZaMFeF5L3LlJTXgOVcI+5VM0Rwsly3kTFsK5cX1eGAZhI6aUzFoW5tyW/Z5w/hSkZ
YivuUs9fK40OQa9TnM8WNGJZlx5fdApxJllRjx/cNQ4ZLe791EbFQ10BMcxVikoAfbJjr+aprrcl
MjdrQ8AaPsUE+yXnNJ69s1ZyzuhFuHQ4LE0np+NI0kSyMKYt4hnR7thVlPWLg6zEDafxLc1sjgK0
T6t0VRUdwd3E192kHlupaGf/Ioa+s3FJoFvZMigvG2UQxGY4MD/zchQG8obZn9ktm/gxQkRJtxTF
3mdqdLpnKHm9vV+QN1w3ZnlYmoXE/MEXMWASojyW0g1v4whQxxgY2ybBFZrA7vWke8UWOLxWvpOf
mZKG1ZgZRrIZun7eiyqZzpdFed0uC1X1Iayz6Mkovdg4Rq3dZtuw8i0OQGYHYNPk0DyATYnIac2t
TwrReLWOq7YnB7Rqn+WMeT9sRusllw7d02FW8103+kVwEE5OJ00G6GJSe4ZHUzooIiOVJOjEIst5
dAYzOSc/TnzuEV+TsS94aNe+RPTaxFXwnPmmf5m702yiL87Dh2XIa4MIMD8qKb3pp28QtdW7IKnK
FzdOwg80OT4bpHFA3ZLOpdV781e3kTOCJ3o+1ZZQiIpE/L6z1oXMlM+PVclPyhcSObGfNWdBRM5F
aXDWIBHFDS8Se1KbRslbVNhgLTltqC0pMkRzoCXYBkWzgLFCDb4Mfbch2yHdEPvVb5dRtce8tvyj
a3bEXjtJFnAfkJDWtMAJDQDqsDZAku2HQqQcngx3X6dmTjckJBcCSqdkJApIilwZFtOBQF7SBasy
ZX6LNlhHUrRXtIl7HX7tYKkJUsGN9cvsI/ZT0F+tpWgLotrrgZJNFaEPxtg8I1UnrUUY6MRaM4yj
FdLa7lrQ53+tXR/UK1idARXeTBx8viQhluoslKtQiGFnBEn77EEf/9oSXv8JQph16SAjK7eERoHV
clz82BhPnRZVTxjlm8Buyo2XjNFZYhswPC2zuYfc2ZD6Fo7n0sOoUxZ5u/Eq/yga8BKcwtC9J13B
vAazUZazbNaWaPeTWT4gGez3nUR/ROojSudOphIqRj4z5FID2d2wYr8sDvkn28HyWpKregTnteZW
Fxhfr4n6KYb+XGAPrdRaSAJbPi5GXFSHGWlSbj4Fc05tskok/gj11Pdzl11HE0JpW1d3VjZGu0VX
fF5ZmHdEDMSUlCH1oK4MERQ9uqKq7lpm7He91UU0xbEBP466qqSTRoFZoQw/JrrqhARHAdrpWjRI
m+rG7KfyhjIbiaiuWVHpi6swLrt1rSva7FTcWrrOnco5vep17dueymBHV8RZSGGDTs/YWaeCudO1
83gqoy1dUbe6tl4mZV+6bkXBLXXtLXQVzqRgfIhPpXmiq3SHQfp1deJ0K43sRpQckabegPHmGT8j
RNF8bTTke5ylu590TTdpBDgSQWjgS2ssh9gq5l0mZpsoRNVvWxX121xplnivseK2YmaTMJNa0yW/
aZnd46gFQR6daOQzbLW7cYnO6CLTE5jqGEjDArx81hjzeAForu/ng9SQ8zBb0OcLw9+TVmdcwwqD
hm7bo3tbhEvyJQJRf0gnYzTww08N1zHVfJxRdt/auRz34RyGZyRHdo8yqsubAX7mgfcJ0UOlAe24
32C1YxGml76cEO4nmnuvwe6joxnvMDZDsgZonSYuCPisLcR1r7HwpNVMZx0bI114e7yqoMebGiNv
dZoo75Je8JT2YOZNiK5nnUbPV46m0KcDSw2Pn6bTQ1xx12Ro+7t0yPKbSGPsodwTza8s75OtIff2
DO5eJXrRHMPChvU+ji4MP5ow9X01h0+pXRFLNSSEZZ23XatbfQxRE0ToY/gpRS1x72IUbm88yYjg
wKi8NVYL9ZG7LjMq7AvbI+9oTyZOZbbMI/C7EmUZcudrknHuZRuDv3EC0vwTz981pDfDzsDDt87i
8XZh8pCdq9PEudfDZ5cAl/QFBioz6dnOTXcryVaIIQh7FEDepcV8blAkauWp2R95ZG0JPBXildG9
tNHyiWPv9BFfXvWaDZP9GKref7DauDkSBvzQVv68LZ2WpKO2oyTsh3KtEw69Au5w1L+JNHnJlPdJ
JwZ8JhSRE4SQLgwrt//kh0Z28PyguGmtYjuK0rjgx7HJDWpynAmqfXMWyFvAtdscIUvrBCnDi7Q4
SFSJt447wo3te5G0q0aGcfwQeL3clou93CZIeVNC3Ea3NFb/q57+qy4qbc/fKlIuX7ru5TXpu69K
dT85Ab/9y3+VUF4IRD6g7vkuvvq3LMV3/nLRnoARDdxvlsB/11L2X6isEGfyz0zN36LC+d5Ltf6i
xxqGJlXWvwit/8ApTLn2Y2eVP235JlYLPIpczAyp2X7srIbO7Bl5YzQHRr1vWO3DvRHU7HsBgVo/
1JY338QuP2JT/+5KNlWgQxXoIIJ5d6WiEpVYJosr2ctIj6p5bqp6Wo1R0q//+ZW4BvHPFK4ET+tP
8kO3OMY+svBKNeDcQUdFvXndDSUmZHxb//hCZLWTceFyOZNr/XyhwS+sEJJgc5i7/C0v8jfalm8Z
//l/uYxGS4CMCH/5jZRHgl3iTs0hMnT6aIAhs0s8Ykgghv7zW8eziqgPxhsu9FPk+I+3jkO/qBO+
0UA5eEG/J1+RjxFcyCr7w5diGPD+wUNcZaPphoxAUMK7e+cPJPcCK2wOyThSevfz3RxPj5aB3EOH
t/3+Dr4XwvKUowAmVwnRIt3h9xpgw3JrhJE1HE9asRu/K+UhC0jCq430xQzicp0K6ayojdX/5X7S
V2Vyge3Be/96ebLu7YKsmkOD1+W+l2BMXURZjwa6lT+8X/qG/SAx029y4CEvY1VgOsNb/fPDuPQZ
CT9QsA64neSh7JsZbqMZ3f/+Tv7NW/zTVbTQ7YcHhNB1MRg9RFQ6xu65LadH9vjqeBJU/v9d6d16
MeZlglKBKyVFP2+8KXthmFms/4vXy/z1S9GRAhGCqDUUNiXUz1+K1ocblHVTHhrQ55vGHMiUnhuF
/ViUMyAuE9tfKK1dG7rugZzAenNK7iaVuDoOLXle67EmCzKYCHySpCS9+knKsYCm7hlHbWvX+/kb
vgbnLF6s4bLxAfwi5+uwTWGI0pW2RUeJ4sbMKV1ISXEP/tSWt7MM7Y+5byMOBO30PJRYoMaSkBTK
doDKc0VoVMbznPuTF5PqD5kQVdsUbIaWiEGlkmrb50W1VbZf3dMFEASpL+PrKW3KUggFGRlxlYzo
Etw8Q0Z7NkjqLfm/5ucT4iHt+Dyn3L8y4kvnJGHuaqbq17G9MENGieetCeQiCsHqixCPjaPCPZqS
ZgfKYdrSows2CBeNdWny7ZaShQuviiLMDoNi5LO4EE1fbT2PLaDyIREr9IhwgoHqHAWtN7RHJJni
iqs3AQ1musMgDWgh2x/jZHDPp9jKnuOgLh69MSegqHOaT61X2h8jvjvN89FqPjWl6Bc+04DEJfF1
yovjYFFdTZ6gwWII8lbgX7nngUFsFtnU6jni1pwnKCeuvT57My1+0x6K9UfEUG9TN0b3ylvqM4Iv
+PT0V89nhG454YKmzu3E5J7cZCmp7dkEC4AVXa0jHYwzxIWz4hhA0gsxhGTTkPmEiKyP06vYaXDb
eXH15hmkQlp1xk0kTrbaUMoyDDs99kUXiyM0OpKY0QJsObryNXs42QClZ+JtGo6Di81Xiv00fw5x
w65KlE2bCGwdoc5qqJd1vUiv2KMkMBu6FUMTUjFjAE+ihkhk2xoQEFWQKJeVZ1bywsCs+pF8Z/dh
YirxZhNeeeQ7zttKsXIygmgPIiNAuMb3/OAAWc7WyKtcHJ7CBYhGlOdQ76g2wws5NQ7GR7i9KxUB
bSERqSFCzYjJfzUzL3zsWslrJ8zF0E5Y+hBg0ug9NgMZQcSuJ4+KSnHY0wbMXsLRNnZQDodLz0d0
s0rDAU3DQCjvSDri0yKXfE90pSp2oyHtdJdRDSwMYAJoa7KLiR0ipNb6vISNjt3k3UIThRcCqWX3
YaDf8SnOhEtUf8EaStqOCyTMcI6eKQgkEiO+OSvnl3DJ8HhuY8I+pgifMjNGe53LjAAfYpkjxotH
PggBQzGBeAae1XGTlF5yFVPFb/uYULcMGtsKNRXkOJC5a9wihDEkYXSfDdDYN6gjk69VE2I+RXO6
mj0dayms/qnp5mHvQICkU9LzICxjUB1Hkb51EQPDlgHlutOeXBl/VeSgbZJuuieG/qDq4TNU4fRY
0hDY9hESP7ZC/zbR8Q4WtdZW9ywu8bZCCcl5zwXyfiRKfv4xsJrl3AynXbn4BfLgqVGU1EClGbJn
6FVVwUPNqkjGctHMZDBktJQ5VJKWy1tPHNNMZlJD7GyXzdtFsroRiD3sLb3vNoLvbZfZC6jT4DoY
iZsmbzO4dQbyj+t4tB5QADtHTCpcjQX1udcZqCbh/3RwdG5Tt/AalUEbXtOvH187Q6JNi7H2rhOR
B7eWh7ZPmDBgXRbKExLFI22T+IMppz0q5w1sCvR0rtMHt1Gdywtr7FnJTietPsQ/Xphlz2wNAVoJ
LntDU6reSGAYTNUDtbaxDr8mbnXGmA+aetiZPMGmvZVpce00qt4loxPwI5TNddfqc3Vt1+eF1fAw
jS3OzVVpYYXzuTtkRI+b0uut7WnVxfz5SeWB9dUcWa0G/Yy4JlyIPCL4L3OneDfMCQntIycJ7PfK
vUKvtuuQHhHsK+216wAjaBX5pkSH1R/SiTu0+FG1gSIp1wLo3xp/Kyt3YRKGG7MbPDDqi9aBV1VH
wjLK265n7TFiVo8x5KWHj849D+t+52Qu6TrVkF45kW1+Dq1endNT5Dxa9xi4uuLQeSZji6QO9yWq
9ksl02sndYYnI8u663lKMBJny8fUdMaPsAYD+NlEV4vFcg9LmC7bKmnL68aQaIjzT34ry03qJG91
zEAE4OwH3udHOaCys4Pa2CZx2SI3dJprMXfYmOs53rO4fzbcmga4z6aX68BdI02Kx7Zi5ZUVK46J
n/ohNRlQEK07Yhw8LbKe6Jrdwm+wo/Yadb9A94MEemkEuf2htF0h9xWtSttKGjIOuzCjlcv0qWYm
bgeYkO0sLNdWbFLPj3Q9kRcztKhyWQKbGFrk5gxL0pLpaqvMlRuNKPGa0v7QlXZ5pOAnF4mg12aN
Jbw9gtrtN71VznaxIeK69r3zebSnkp6YWUjWv9IfI4SJI45NM8+QwgmAL1hxM9QDcCvLaAiOYiC2
cRV5PXO0NWdx2dM/JvzvrZuzJMBhmpdf6fkj60hj/2wK/MZaj8RTkiDYuua27SbW9TnwCWRbK6nU
DZhDzACZ6EnS64I42yoGXxj+nR4HDmtP9xzkZo67Zirux8xB+ttYTHL04VrQpfLn4QilJd+kjflZ
BP2hybKM6RE5F4I8uJ0Nu2DDwjHcuoBCLy14J9lG+cCQDWHPe95Tm0lchnK7LwKFA7lXW2YuL3ni
5lsffuLWNlEs1n5rPZXKnsAWg8RcTbE0N5Wwe2MdQhi+4nWNX+PCt/pVbnV44f0p5GhpGGfpxLhx
B8WF9U14LN8CgAsSOJ/J2yjCAmg9X/iQ9yMBB8HsDvvfH3v1lPTnc3zI3hlwhMf/ZaPCenfC7pYl
xrhuFoeWDXTj2eNwqWKwLrpNxCrH0fIKXWGCU3zhXJGH6Hh54d1zBb0FEmv4p0Lt3awVoxmfhw6B
BbtJF7vvCzV8irwDfB5ZWuiV5nOZs6aOPhjxor+LZra539+BXyrD0LQwsHEloIH0Od4NdzsxuGU8
NsVhQK10Dc0uYoNiO66wyZwb4D3Ofn+9X1Je+YYWoby0y7HpOE7wrnKqJAcc4eUEzwQtPVxWCRJp
0PI2m0yWLwoy2TbvEs6DbjDenLadsV4sb59AGdklVmGgBYcLAVRx2E8oMv9Q2Dm/lCd8Pkb54At9
36ST9K48aaa0NgKMxoeE7LZjP3TlW+20vFMj0xATy7jgsA0JmhcpySx1hXCHYhbrxXVjcdBO+RIc
ZapjYJPdMttUnqRbEcBfzL17jsoTggJpbBe5h3REDS1hg6qPXAC7rMrOROHKiKiM7kmbEy+OJ2Df
hPyffWBY/u0cET21iuapeMRmlD2fdsUKqXOwHheEtn+4F5b+LX6qcvW94ESJ/tBz4dC/ezjifowy
dq/8oHRyuWuQaa+mLF6PjnhqcZ1Ds24wzpN1QHRo6K4ZQ38ztv5H6/IvdXbooHuwcQ/xk/CYvvsE
avZGAhutlNgMMvNcIyb4UYx/WgZ+6VhwFRoVtoc90fYhOf5ckiLcHyKvqtODJzg8e0xO1lXjqXVr
h9QZXk4qBYpfhG84up5+/z7Yv95jjiiO7v+EOB+xxv18bUYjYpDFmBzQx8fRoRCk1p8CMcueo3FH
l3m+Dg2y60lgeMzDuX0zMNRs1Ty45ArUFQNX1ltGCwxdSKiPVcNxEoj6gfN3eJHVVfeljaxInWEL
oHA9ffr/qX3+oPahu6V7aP9Z7fMx7V65tenPwNpv/+q73Mf764S95A3DKc+yyC//XfGjG9KWh4UR
azKPhG6hfdf9YKFE8KMTsgP9rDp8jO+9avsvgihpMNPfxhRPl+Wf6H70c/fvd5+NiF3WdUwbfQxW
m5PP+sfeE6DVJO8hf5yf0DJsR9ONa0E/YGhGmKWSoJx+uEE3v7as/+6CSJ/g1mKaoi/6busj9M1u
GCy75w6nu401jEy+NI3TKyh+4xmS0e+v9/NC/+0L0ibkfoGLpen/biNi9rt0IfjfcxDd3kumUUkn
+E7n0gv5/aV+Xl9Ol+KnxvKKi8L0zfe7ukzGJO5zS5yjCXFfUj+TB1ctLP2eHUOJwO/06OcZ/IUI
iMbvL/0335InyeVpCEx2+PdL29jmw2wSFX3e2Zk4q4JGY0XdilgxzJXlHxqwlj4uvXtoeAItzKAe
/dHgfZ95Ytpb+vRicLR5XAjbhTmsxswE7jMonz2kAiuYHEtgJMF6lkC/noRVg2GaCop9067+xB79
9et7HKg8ErAt32Nxf7d/oARFSQG8/jwYBV831I0tkxzA/f/xWnryhCMaGbX/HqKLO8csyG0V5043
kvnGxvnFV+V0B0S9+fT7X/XnbVE/UJ5OyRcu3gCCvV19rP2hMZwqAoC8uhfnTPffOpujBECmf0qJ
PV0EYPXpP1ml3r2QgDqFr+xCkJpD5y0LBtp8gUexb8ES+hO9+d1Z49tXcmxsj/jDuYXvzxoBmtxh
MSznPLNT/FuOhn9akUHftpBd8ylocwhP3sxLqgG6c6Jo8A70fH9/Y//mCaa7xLKH3JH/8suBI7It
O4p0Hjv6PptcvMrijKpRLw0hYWsTkBNdltyWOPmWnlbW6eV1NdGZFUQefv9p/u7pFRgxCH7gl6ZK
+flnhkfgTWXe8PLqlhuJxlRFnJfPBSPp7T+/lOcREGNxEnHs908U7kiQYX7rnKfI3u4ITuOVxaXJ
Uh+Q2/0HuurPSz3LtxAmI1XURTaX++XxbRJVF5QbSNJgni10VCTcXAdwHw22iUP/zOrw+69n/bwE
60vSRdCGFo9XhxmR/kg/vDENIYscdP3waEaQHwSRbPC0ZYeWYDRgP3cEFm/pddBWCzL7AbhDuC0n
CFk+uabjJki99oC0EqSEXkHUCV03L9DhVlFiLAC6NWbu9x+ZAJKfVlOXjV/TPngQQ9Ph8Ou9+/lJ
L87EVJIK1dEX25lLsuzq1DNINu3ynrjRcoaRTCUi62iNtWT2thZ/7FYCi8PgnBVNt8KSyQ8ZubFC
QlWqLxMaGTSIzDiZh8BkTTaQbqxh5Vpgq8g3xcJwgjiRRSoPEA3UF8lQ/cxH2iHxYtvO2Whn7Sel
KbxBLJyjzLiBJ6nqDRGqsBEZR4ePmNAMJhxh1FoHC7c+kgw/kbTcwsTLEeilKGjjPnW8fVG1XCPg
TuPAnrHMBCT6i4H0Lvy0QAa7pNayV8F0AQapWvaMm0PvOGrWcIcTiFaPtKrkmBeJ+gIVt/3kN/hK
jqWVznewZGBg2opsRTJz4/TZmml5rfzF8bTmA97dIyZTnj2Vey95avO0i8x2X2b0M186Gofs0AMg
yhIKwGuzRDZVst/eSY+oKHf0CbZPY4GTiQBAF7GOyw5zoikaDuAmMYE6FBFtd6SR0x0m4uiRUKx0
fwJ+yw4U9om4pRab+xOOkX/XdYAM7AFUZhMKfqdThLiF0edLXsY2xkRGPtulQ19JM0SGj4wd+V/R
Umf0FVX8lVJjxBbFfRO9iTD0tMtV7NQEQ+g6dS4TmR1iMZGQOPu+Bm8lHvLfskJAdUz0weTEHI81
TNTMbGhe0IGpd02DLMIT8LFNUQlucrLVX3xPzy/mLKNHPdQBgr3BjHzveEJjGQOanT39BZDX9mTz
YSiCtIVXsS96dcL7VwNxiNHUBNZVYgDy3cwuER1rAKW08P1ZsN+oHNgTHQmHZ3nIYNPDBuDPBoph
10QG6k1jBexFSvnA6udC25tgBGPDbpx4QbFVLLHmqbgvQ926L4y+SKPrKhniTp8teR87i31YlhHd
rR174rkahorRTjpfFi0SVBpytLNw1FgBqXmmPKZFTWQ6uYj8lWKaEBwvdb8xu8iDNrik5EeSgkMw
r5vNV4REmeelSOqGIPEwxMzaIfQD47qeq2V+yEO0Un2dNM0xJ/iTk5GXQ/swu+pWNR3uVtJ3SgBo
Ur0FghmYSxTyVeiRjQO3mcjmdZ+zMq0XTakczYZ8RgXA/skrctntOnf2XslHtzYdmb4XoJtlvCMe
zB8ZZCBlxaZCNELd11dhNlgjYrwueY41UdivVXOpJyB7uKrROYmUfrsPutH71EAM3GHcWZ69eKyP
jiCAA2+9WJ6ros23CG8WOpIDP2MQucM6z8fqOWuYQG6qAYR1bkp/rw+j3Yp5q5aAy9LAbI4TcODw
siP6h5jSZIFqWpvRXZ+TyVnlbXOWyaTbzW4/f43ietwmRmrczmFdPqX5IGirVBgEK6IRsrZLV34u
X3wleD8Ad24iu0zW/cAwuSS2M5OBAU8TALMIAJHUK1TNibXxfHi6ag11DeHOSqJqiGmKdlMzXnDS
DQ60DQkaqdJhXIko4kLkeUV4wOMEyGfTgRntEh1lZ2ztsu4/NLnXNuuh6na9i4SsSszXwu/qp7BI
beZn1rTrjMjZoEUzybdT5S27EgPmheX9whMtAXWxyS9KYll2AU8NEanqmxvCG3ioDY8T2csJg2rY
Ga9ER6zdtK0bZWfn3qSxeLaDfHPNaqu+0IVlQao112NmmoFwVQ3ho/T7Kd4GPZ1XBpuJDk4k6wUm
Npkfy9p2CaqJLAETY4Lgd5rM0XlnPw56N0Ikr9EbtSz0X7Omptvn8MThMDo1BzONMDAm6qiuw6y/
8YbFYs4hePX7xGWAOSEnPZxguk3DY7uu/YH4GYbmBcrHNuY8lxDQZzmMbXjnk64pn1365s3b3MCL
AZWsom3hq25bZWL8CpSlJQYgN9yPRCuEZzIJu0PBRCJZVVOc9qvCypLP3aBessZ1tq5IY3IkZpaP
p2Ih1eeelEF4BCgng6sB+h/O7TTfIpAhvNPwlt0cVM0HkihKH5uKGD8MrizvCKB+s4vlabKFdZ0r
vCKsqwzqbHr9W9E39peYaK0vS5qO93Hv88vxxpOpAGcyBK3qj6TNJGmOjLvo/KPn4hbdTGPR0Mz3
WMfXec/U9KDCyTwXbT1ftp1y7rxlSlG74iElaZ1fAdM7/YRHoxqmaosct7icpBTXC8ko1/+PvTPp
rlNX0/B/qTl3AQIEg5rs1n0X2yfJhJU4CX0PQvDr61GcqjreqRuvW+M7yVk+cfYGIaRP7/c2SO2m
hyqjPYKtxfACf6TcN+MqvjZRoC7HoMU43o9dQoSGUGTbAloqWTFIduhglywXWC7u8ir0Lohf/0qv
ev4wj0mBHmCyr/ss8T8Xc1Ak275MI/ZK3MU3ZHImNxFWzBB7fXFBilQUbFKVDF/cDIePitCvPf6W
0yViJoscedxi+qPDknewKGbVTjuuS0cORYo+pGUtHoOihRJVi/UDUS0YjSzTeo9zfrOJYGN/mkro
yXt7GLzsQmek2GzDxraCTRhjeXATaCQCxwgi4RmnXOsql2vzhIzFjbZWMVX1xrWkXZCTEc43Mzv8
D0d1w/XUtoDJbISXdT5USA+iNCaF1OF4kbK4HeEPO9m2pbKwtomS6j5x1SxwM4qxjhhY8j4VekQT
tJT+lc5cllFhL7AfulbVMx3Xfoq3Zd2416NcVp9Ass4JkRhIjwXRmb/T1J/iA766K9mmtM88r8PM
vwzWs2GS2cNQOd0TdhHDM4683l5pIkZWGA/0aAOPfisxnhu95nInWhoFW9z30292NbIPjfaCFRDy
4HLnMVR3auWcguySpqTfxNktGjL9ZPezde1nI+HwmcDGM0Qii3yirckjGqQ/bxtA6+E4MXd/ELyo
/2pDMb7Mfiy/zQGOcwe7DSbsiEuHrmTelOiV45Ac0nVcu2zXp2hjzmj1//BTndwNOTHpWH0O44XA
XoRot6budiR5oWxAGkHUAbvzrVWSc+3inz3uooSaPVkXrTeEjkm8byZvDC8LeiM0qSSECnpY01Ym
a35LziV2+THtpts6KjECrl1t3aeW4KmVAEh4EbfY90zPOsWc2XtFy/+Nhb6DhRK9wcHkn0OhZDue
2B+8/otfMCheif8gUxY+GBRcG/MxTm6vMKgjATQ9ukXASVAXI+OL8AsFlc4/oOsayimEU0On5ej0
CwX1+StM6PlbAZoPtP4voaDiBNHicsg69j0HPIv7hO739twYSrVU1WR731OMrvMfJMTFwt7N8GK6
cTeOubs852WC/G1YRMkqPuCk8qLjsq2vnAaRtHtoLQ9fnKILLRLwavht+E6HZZHqp96uLGzPe68N
1gBOgk4UnByhOk9tBTy8VeyyfBrcWzxHW16rxGY9xqnOZK2XRO5xgiCFIMORZ52AiY5iSDDT2WgC
8qJ+W87aCuNDrfKhxQZ1SHEae+9UbU6gf8P7DD8WdjENGiBGjwbqyeg0Q+AQP7v639sBu238GxOZ
lkj6PSGK6yjxI75SO1ld/eiCPlseoRBHXJqbwpbBDc6ZE/30t7n1f6DI7m+XJKUx/sOXzgfOiE4B
T8mhpWqGPvnmlLZfXLds+8XF6k1Uh8fUwnCZCB+ZpY7JHmlR7xS5bgu5ye22Kb40elig6MiJTfuC
iL7BTvdrnKzTbi01j2I/crIl57EPYkvvg7XogpsVWyp+Db9NFCAbO2HNjt5pxJ3AfcAWZg5i7Ykv
R0Rb4ATui1PIxxZ1EvwUawk++HVmNQ9VGTfr3Z9Hjzfq78+TL8LLEbM0PE/hWvN9b2f7QnJahHNF
/E3wtPHpbAlI9zBPsnnDtYDfcTsPjc8KvgR+aY3b1kmkeiBW5V3G8gn0Za7ED11B/xHYBszmBHx0
BGrMSOfBN4hyfXDjt2RfjNRAFtSKi2QIVnzw/3zvp9/oQOVFLE2UK/6tHmfit/fudznCGuLhvkQp
iQLLWbyE+fzsrBSc7jaIcVRa3/nG09F2gMpxlKQtEIS++xvW2HeDCBNG8wspWxOfPupsWO/oRgbq
IXHpu0CYioKE+54Wfv5eutLub/WYVv47sOfpBGOBxUbTNguw9I1q/O29z/Wo1Rwl4nNqj85ySTh1
tryEBH7yqP+1UcYFmzMwf6DvZLKdvp7kCHWhcHLn80S+WHGN5NE81yz3BFmaqYGk3lmj3jIqWFBw
6cXWl/3AZzFgEX97a2Merk2Iru1zXzOl0n0v4tWw8ODn8Vzjvis1YYsZgdzRVhZQDZd3kNWf3Z2/
LZL0tASYlw28IenzwTN5ewULnBZIaLL+3KX2An+Rab8W+4E8mCj/KVJf7xTiMNYndCs5D31dAEbU
0aJHxDuIrxkxj+fz6+BUpNAyRqtvLV6wbWgINhipl5xVIBoUxFsMO8ozK0S57hQjcXJy9hVzC9/R
BoZLGtsjunqBViAwVJ8pWV6cuddztoGcVOfQqsHBxvOMXShcd01hKb5mIEeTsywUTwlpn/zLkmdG
X95Tj3IQPR/ftn3LZcnBtnkxB1lahkNYuGuXH/JwtFHhsqCMEWkCeZWzBtuccxh/OE29UBfkMHBC
ukzrIi3eYRCcvtY0YtCMwNXHwxlbj9OpPeGxl1r2unxq8KhHipC0YwxVN1rHAc6lDcOPq/nzHH+L
NTPlMDmGSuMz7ygbfjNBz2WJLc4Qzp+iBIKJ2E9ZFBTXNIHdwrrBVY4rMCDC1LWYwcSCBwFga67m
z5dx+lLbIMrg+Rg6mDfbP+1HWQ4eY5Tj4qVEo8C06pbWPBVmA/k473zXW6jaY7mmEoNCBIEBTQT1
3Ns57mYY/beZ737TTjJk3neXhL40PY/biY00AXtjISmXwOQb/qs3yaaIaxZGGKyhv63aAiViTyDT
8KLtyKyhDH6oHmLI2UzRP3/VCXXJ3CRceDrrAb0wqtHTdkxOAE8xK7f6NpSeX8mzDND1qcQmr0Pb
K2FMtrc6WmO7umoyiI/23ldpsT7ng2x5OzF0QnW8sfO4iu7znM3I26aqxswCP8Se6KJp9jwm6J8v
+rcH44f4z4AH8HTs39v4Do6koK92/VLje8FVYPxa5D+Us1j+xwZjBVaPuFLNu5PvZ7v+76ueDWeH
N4AVl90UZu5JaRhbjo0617e+slQ5QIOR9DOOiTKE0GdvHVHiAnbGvl/IL0taEhG26/q+Z4GoLO2q
x6xaZxaNNNTr+DWpnTw6CMjUy6VfLR7s4ndG6adM7e+XywUi/jOvSYT+D8bT2wmM6Xnb40vcfE3D
jO72Jg+Xcb0bAm1Wt18LcjSAot9YIs54m4ba86hu6wARMYHChcdKygSs8h/B6yKYxV6xztiyek3+
47Wi9OKWcsnXUxJ8hJ0D/LdVlSyYqQoUkadT92PAuaKmF8oTSfFzoua0BlLbcKuE9gVtOkUq82ld
zJlo0+mVlLOdm+eCLc1e6VLlB9frfN7vLp0z4PHAy6vvwUzIpwN5PKa+4PWP/I/wuZmaKD5yrtEh
eqKegNkn5yO93pZwoCnQ5fq8jkKqR5K9qEiGnP8zb9I6N/sJJosNz8xN9cxXc6gH1NrmorV40WMi
jLiZxs7zNEFsUwe1vxnm3OU3A9JG+RWMq4YqOPoKfvL9OMuK3W/pdE5NOfReziacJxFfbWX4XwIY
iNl8G+mdbXAjiFTpPnW41auzmP5Cdl16dUhWnIPh72VKqOF0gU2nZi5p0nwYugw/y+UyVENqdp7X
Jb8LQYf7szYkw91lI63bojj7dQN+jlsaZotwR1icbRz4GVDfrpl+A7IjFrGykrZV7TuQf/6DtdZS
4ZXWFjRQfn1Gh+d3vxdZ7GfplinXkBAo8BtnDCaBa3Z/ptmY8otFNNxT8jqqHqg5I+eHhNP0Z/NM
TBsEXkQRJa7akflGLG05hi5tHDAs7SIBCXcs9Ga6NPh95D9E0dRMmjwO8uqhJsRNykNOIcZ0aX3U
1/iV1sT4hbvE7UuemdA2H0hrwInlYUygwYPheZr6r6u0YgwbSMl8v8/C6MQfQiw1GZNVThjdnsOa
U0WGTKE2h9Hc0WYzW7CUNjeRR22grzsRqxq7BxjmXLF0FavAvsfPgZtp6LVzJT3aLn5KQuAndREN
lBz5rlkaj1dhykXIT1YySvauHgd0Lmnh7vmfM1Ih/uNFKUHCW/icvIILRAFmikDwTkGJrSKXl4OH
moMoaQRFdjPARcAhbfL4Aeu3RXJZOf7R3GOnKIF+TLjcMJxriNScqFrOtN5ZPmoAykOCtzNT1GAF
6rENa/4EyjPVkMxH1gbOwqZkQ7rCe770y2oWj7TgZIkEsTevtBeZD8Wo1eFJ+AMHYSNBdwSVFEHo
jAIgF7KTM6VtsLJrTERMBdH1OHlQ9XG4NLNaZFmPeUkRGRa/Dktf97vcfowwLMBy3qEXblamtEzz
9QDoevBh5bfiMBZL4tk75jYdvETZ7XrnL4ShUYYNSDm9PZbM9FMoFKDv3AQ+yqIek5ix7GwOQLnI
bhsnzUBGAR/ME6YnsqCmw9J/IGI3g0ZN6AMBvmMzYJg3DNZ8WcSD5BrhcfBsOi/MGv9LPTimhMW/
mlyYDzTUY6/Gir6JdLjF2Nqbyz0LMcvNHkwyX7pt0k5NFG0myntCDGM3GNOzGIs+H78+4ohxdX5Z
ZxprGJ86WLOuhwj7QtyfsBbUaZpcFQ22q5JsYaKOmDwZlH1m4jgvFGDFEpt5iVPHwByKRdZRhzYr
9GIkNbgN9vjw+IKlknqdUdpVBc+j3mjbcqbuhr4YnjoHDN8mnlLtwMtL982C80+wjTrbrIJ0gSJm
rp218agO9oidjtiDyXT83djHZl0qbFXp+2jMzVEopbPEKtV6OmD8xtRidVCMIu+C444DE0p1vYCX
zdPvFv8yxAvKOwuxJjIFtLYmvtpz6N60B5ZLtiO1tJJdvgKr5s0LvdJssuM4YeGBMM+H7sym3C+s
D0uYWh5+KkvfggUvle+hpB1rbikkXaDfYBZiSiybPPXlBRkQ8MovYIVV3wzO3HQCHUrRs6qibCJQ
UFjnU74iEN+EIa6THRGy8d6zp7j7gMqCm88aNv8F/yHa6S2+k7PFKDVVKnmxc2KamTxhRtp0sfk1
ratsNn+3eI1g4iItMkhA0FhmuUfWxKaFrNlmjIXso37eUIkmNu+nlWS8uR69SemQg+rI9sbNWHZp
eWBTZUEKcJbgs1XPZf/BrnT5GHFGwmu97+l4XwR1q0h0aNTUvrQVe8xlj9GYdx1zpWLb1LinfMYW
hrZRITEs/+bl5do/VE1Q9V9m3GXmW4IISvIvrRKqAyo5rKchTteR3247zr7DdMDlI1Q3fUeUd4Ob
tV05V6JkW8XaaFQEp/GMSHprdNitUM9r1Xt6mxAqaUr6tZ/JWfJo17kRfhXWMn4ic3LyPgQlBprJ
Nu+8Qlsb7ESWuNm0EfcfM0/jZDwfU3YyTm5rOa/rLsrK1e4PMa4BzaXm5UDBNxbXMxro9qDIFhY7
XC/0+pjkLurVTAajvBiWZQqxhx1dZ7s4rHD4iSXjEBl+g8y3Nv5yPQkuZXImXTHuusaeyS2Oats+
OrMDeTxuNY7bm5F2fYZzmvCtu5YMBO9pQqyYN0cbJUvb7aPG1voRx04xXls0tq0Hz/KGFcEis3rj
90HQP60SXmOzKcdA9u0x1D4Suo2tZBvsCAwvi2Ocjbk+rI2HCHkTQe3GOQVbqqELvzpVHtbfUqLY
ld4Vwbh036PcFxOaVGIfJb3VwR/t4xjXnR8SY2D7ZXCMcUoPbvClw0ztqAJMGUtsccMaqoaDtKiY
EDk7/riswT4Qo7CSm97lZvK7X9W3vZRx4JBoXDU0Q+cmMxtqW4mq9Z/mxW9bb9fGcx8r6ikiy4uz
RUmfaiy2Z16YHgMt5n9tkcGZHXuhldlWIhYSXu6OyAz2WjZwXgdyP8wKV2GSwVKSWWgJ4kO+lHNS
mhtr5/By7fCOH7d+2im2Hj+tcnYZ6BQIkI+wRfhMetqNqf6CoTAnB5lDBTQRW6pCZTl1VRZ89OsB
XvTRIUSgiI6JNQKetlMHvHbwh4HKPiR5o3WPnutTBSOuMlV0tMwta1keokycL9EDmiO6wOIVc1Cn
DlZxFnluSUmEnFawpuCKbSAF6pIQAN33q94siFXpskfPIYkvM1ZG0cgAtbU0OyeMEoANskRSyXdP
cpXN+kEBRvF3WA1qPswmm4R3afAbA8WgNjPrZOEBZdDezZ2IKwJLGPDBi/rI1KtRrFhtXJSfwVe6
xnVzwP1J1ldJkyu2xbFtTS1Vt9KULGlEdC9G/E0djM6PyRqWgjyI0lEYfbEfAoTClsU/kBA/u/cZ
ftbwxZRIP/HrYKjMLvVrB4MyyzgWjW0g2CAitRV/NRFbDCTtwzxqjguG6zQrJiJBZ5YZsgzb7TRY
KdPnv0cCVycCISYyBKlIZZ3yiU01BpW3K5x6IfSFgshMxQymJGeWSsf+xxI72+Li9TGyYTrOM8e/
aXzE3UFzx1gbOjyjiU6909/USUFU4d0K/Tcm3KaAFIOopg2Saj6HAh6ox9VAZ+nGWVuDpvc9trnp
eWvXpqiwR4I+oDu6iznIh0HHZKloQDgEkMxQScYdIZBUKYkbGwBHNW3fYxeAaZwK79YxxUrpKqAd
yPUsq2feA9wVbW5VFRSZj+XgmVcEJ1WD4NeI54d9rDxTqCExojzsnJ+YVTxlnXvsXAmxYJe87q6p
InXGwj9wNtiYEC1VIKE5pt4cAzMfY8RBVNb4M3LUjldZ8wP/3/y28aRc7+YylGyXTsp1uds0laY0
LILJIL6OaM3Vvr4eOGzxXMppbniosBXFWF0JLVTyWRGJTo41dE66wEjSmQvlNluoCfKD13tm7pa1
G9XX1ewkatwlJSbX0wUfUAmK2rlZeLaTpSq+q157bsFuVWbACnDyfBepxoDQMsr6L2ikMxSDcA7b
kcVlmT1x5c3OWCB19LGD+lHZrjkEQrPgxAYtxDyQwYsoLzl48pzHxV+XSzG7nJ+gPBJpfNSu6Iov
KnU0gxK/Vj5DYmMauB+asOduM2wBKQx+nYhDHKooDHSS2Jy+cA0W/JRwZun3i2VZ+kUoYofvbEvZ
NkaeMEwxZkj7BG98KMtiegxW42u+tWaH8bfSyBy6SWo0VVivHXPIlxHZseMmgRSiHuMhTnhqeFwb
ZEKH1gqBq1d+TY0S+c36zKibFXd1Os685x3UgHkw5wemU+Dz9fQq4tUslS1rMjmV0ge33+O7wNQ/
g5eYclQp0OO+vL56NQFC/HJpVXgBbpYOIj1RCYpgDiZGPRv8CNbQwosOyTWc61ub/I2a4OhkNSdu
bE5GBnJ2pHnFOS0n7TWOXx7F6zLnyRE7YD3do7Bdh3OoP055hgknZwo2NsujPoA0RFDOAfJYw8dE
HgZfqOa72lSibu2yikN1+3lq1AVOXul5B22MRYqCfwIeBrlyy32UKHMKfD1YlPFqLrrBGwHfR96y
xSjdQpOm7KnQoNwckmxm/4y5GI80A5Dn0qdasxPudTphK7G3dO0V17IFHOEX14UZBRHVLFgjj9FK
yawdsqzGS5bGCa3OVNTFF9Foc0JfXleOSA+m0K2c4n2c9xRaBjMKwQSxPkIngmP+CWZErikM0qic
v+p4NOdMBakx9XeoJsnB2AxTz/2+g0GeYrrmKzme4p8ClfH3kMmlrevQHoPxqx/Mph39OjXKkFir
91Ds379KOiE1rjAdcHrtJz0hN03aVYFOfIWaY9anJvCEoihksWbt+jP+9hMNfAu/Gd2IgMSI3uj3
NvtgY3FIcJT4qkU1cZCZ0splJvo0K3gNU+RH7IVo61k0ptrzB0AUVXZhuYX6xrkbFMK0aiOOvGbt
eV2ZfzVz6z4xR4Ra+gN7ggy6mZ/+fPm/DRUNHvQYkWPjUOm4pz0mjaf5mMzS/0JiiuY62KDMsZDN
lSPUn7/qdM5BBIc7j2QXtaBN4/1kztVBV880aNJPRQNacEEY11g9Yf3t9lfuML4jkTq9L7wBfbTI
oRcgNkNtcoLqIwxNcCYehs+qa/P12c+lWSjh+5qF6M/35Z706fj0ELoSMikJUC2wQHwLwCaztsuy
Vu5TPYx2uIs57RNhh6gmozDM8pnBxB1rrfiP5HzDbqcxgnqmtvF7EqZAQTixUCGY/n1LcjvLtrNi
b/poZwkbeirp7L1AJk/NKVBbpmoOx4AYtXMVBgZVweKR31ZIULg5q/B5dEkCk5teoapME5b9s9Dd
OVa72VIeYKkm3vWfB+FkvBmDiIrH5qXzfpqPnYyBD00/wpVCP01VbiZy3IDsFRtydCg0//xV4qRJ
ZZ4pHckAwkUQmnSRE3yeCG4gCMeLH0M8yMx3TT5IQ6E6szNO9G+p71977yUkHUah1rUBFX791KvJ
FNTWbDO4vifN8Z/SqWVhdyvygeZzq8gna70a6L8FAL4tiTvHRUzUF/uijqkmM9xE2MV/4eSAqwZz
tcrcpf5YQ3vl71RTmQe+4k7gf7R+NpPkayUPb85AIpafmieZO7zk80ZCNue5Y4FhcJhfiDNtNuZu
DkTIRhmT2s4HLg7hFe9J28O3j09K6dH4IvISBaYP/90+eXwdd6BCu41fSiXkR2KWfUKU6CacBQXx
3EBi6XiAex9dLvj/xbvWi2tsLoryGVdcGLh1ONUkFCXY91hLOGyCdOyeYsq9ATLuQGA6Rt7uWRbl
9xXI9Ith1qJP6C0siYA+g1vlx80lkcfDNW3mdKW4TVWxs/Az/Wul7aIuSLbPfSzEI9vbccjGGG21
iHAcS53O2yHq7zxazaRQlZa4lktPeGVLyBAtpPIZ717vosSNFKy0HTn9NmSe5dvRKT/TZPQvUaJA
w5/WznagIfby0WVv/NKm5DWR1RekVPzJMBzdvK4fZymm50wIXBVC2/JqPHv89lMxobnA4bb/gDHI
ANeB8NlcT/kBVG1ptzXwqiZ7JYIJO2FXdQGfcj/OEaxssm/zvyZEgIBMMXY+49w3jytpkTtWa5Ld
asvytnZg33vjYn91l3H4DOXae0onn0gOHVSXhRyyPZ5D2XsSHtas/93VmBB0YVjMfLYHo9U9pdPg
mFTIzk/qbzwvfYcnU13sg7IZsUfs7eDpz2/02xf69cvIY4WQ5eLkwFe+XUDj1YOv0Uf1NySoFRwh
bT86NXDEpqqKa+WJiXIpaap7EHVZvEOy+G3m/7xNuDognCzipzywyR+ipvD66ltXk5yxQcqFHKMS
DsS3P9/kz086GVJjGgeZg+RllHEn75h2q8JVtJa/OXPDOyNctgts45H77HRayocaJxYj5yLhzy79
iLwdRdb5UWV+gMh0hPYFWS+47YM+uqitTj6x36Ib4Bg+PlcVZaY71lW7cUfHu0cBWf+oJhFe1aAZ
98pd3L8ikmHw2m/wvN4mRXIrkDQREiOrgMNOAXTtoAPCti5avuVNMoK8TeTeJ779xYYivF15fu8Q
HE6Ukzx4UwbAbWBckE66pyWBY8lBe+GyfvMmM/hpJtKjaPLyTK/6S+1E5SeBf+BuwlqEKFeEo2de
vWB49ucn45uRf/NkpCFrmvYpqgi28ZMNBYtn3PLAV74lEzgbp8++2OiQcLndAKiICbhX6TPSWfVE
qEJbAY42pNZyzLtWrQmUKGVi3a5O4p2JdeGc2cfR5yoDftr2hXWdLbW8WsRyrEUlHoEMytsGa0Ro
KODIy3YdNShl3gzxFt85+QAXBEM0Y9W1BDneSUQvHFGg+GdZ0rS3lT+W466Jh+nrUqYT6dZucW/V
IRtEoJ35INxxnjZkCCWPcxnh+5Z2NjeQauJ31JiAmMm8y8EN2RM/4KQTXmXp4v3lAALFGzA6wgH+
PLhm7E7H1qMYR68ORe0379MJBIXnLuNvXeb5N1Yn8uc2E8uyK7qaFMsZgtA73+i8Jb4yqyRUDli3
tO8xx4Pd8XY5cWy37HG6y7+j4cEMDxI1AUTTYl1yrs8P4HYjK72f9N9aZM/PWaLHqyyL7HtLReLw
zt3/PrUoNVk+ySpDwe6ckgH7ucJQLKlrIjPA4+hFNfFnrGBTtSO00t90tovf3FQ1xvPO52i9y9PA
PyNtKdtxrIiiLf2BKsVJLJAkRREuAFIC4lRbQ3pdBBme+ULom2BK0aD4MvE2CG/ceTOg80oBBDAl
2/RO2GzDavXbo8WwHPJitK7Jh1f8wiytq5/qxQU5VL3L/awlgJHde9s4WXFFljIdI0uguN+UXUki
kZoxZ1P0CJ59BcZBLTJ8GF1NPHFVin7TS7rLzETQ1W3AIflORBmxixICCgFOGhh2DPDB2g60Cq/n
NhrQKmRtAK82dBvn3Mi8SJgNEvevsW+yj1M9j1hlI6tGq5DH750Tf19/mCkRHBOYHgHP53RJFi6N
g0LPxXey6mzEMnOUf6UpugCy88iMt/K3dZji86C2vi6EEeHiFai2+n9MWCwi8OzFVCjyIPy9nbAQ
C4ZqQPH3PSbSZdr9fCDBOqXkkZTBiHxWRY9dX08H1G3xvo1i/QkjQIXl6YBO6c8z9uQ8+/PtwWIU
KIalA2rSKWN3JRRbNbrIvyfSDj50gTM8uBhe7SQ4yCX74nQzld140WJKcF5q4VyPtWQjk+Wo7zKZ
hhCS61ldZdYkfsCc7/xN2GXFh3eu8reSQQbQw3xecTjTHCpPhkxV8VJFnTd9ByTqkicqC3/AVg1B
6DTY6sYNVAEEO6wBrnG93/xIV2JDN+hg2/koZDM8+1GZXNlyLp5cglUAFNkFDtgblQx3kkvCtOiO
vD7of+ssHpf2+3/+x5dvVVbjeMUh5WX8u9M5y54pIP+50OLyO+l/L8Xyf/yj/7accZBawG72I+Mp
44It/DKcCaN/0PaE+M1EMGGS5jT4S2ohon9QWTA5bCOeN4eb/5FaiADDmRDvJLAvxFvmX/0L5ugn
jDEwLTAUKJPkXOL5hOjrpLQTnM+AF+LkQmFXlAKsO/Ie8Ho9CPjJx6xDCKTwyjWBTG3n4RCXN2H0
oBo1nrFiqqPonO5ojxkI8N+G8e51n31jpu6+ZWqbS+PmcKWx3QBhH/vQ27VFo6f1C9iH51L5bXNL
prp9G+JdyDUQMURvemo+ZA7dyH1Gj3ZMRLSxWsW7pKMp/hbWtXM/UD13/R7KTiX/Wlv6gEvazWAR
6eB8qtJ0DBB1qHY9rCqwwl0JV8c2IYfhYO04l1nh2VzE6w7WSj2mOzrKdHR3jYfg9YlUoOSs0RbE
Wrzzyu4hjAd8QD24uRVIRh1dhD1Wl4275HvdswqGU4pcMaJTdoe12kRIUFtuCO+uMBsr3TLZTKwH
X6ulsh8wBG3yjfL6Nt8S74HqKqS8cQ4qdtPyYhRNWRBlgS3jJp+Ed193KH3nZCZNN37GrdU6kube
X+Cf5hynSQwvmZ32t1Hl6x34+aWTNBdtEwyPsoas5kR6OcoBh0vysxXZ5sraZXLtMHLEreeGPvly
VSdkWWZ5QZ07Oc2D5UWfbJEPGxDgptmt2AB8hFTUShgd/nyNX5h1v04YwW4lfO/9nCl9lcj1g40v
7G2/4AmqVxKRYKcFTnKgNel97Qfs66OWVG4NBrRuwUKy4MEOi/ZBZbXYVjGho74i2x6VTu8U1+RD
DuIpT1BSasfKbte123tL7B46sOHHxbb1xiDT5zogxrcsq/rQSohdW6cPcHWELr8nXd450yJu9xKa
wEashMprG8myt47zljiM4J5R7y7DoOgPMFzti8QR0YXhu1+kjl0mu7i2y4/t6AyPjaQj09EJ8BGT
Wu0HdC/rjUAJd0UkE8W5TIODBwqyrzruvnfViIZa9Xs3a8YANwvlHVYgFkC0ok2/FEx7Dlm9huAK
GWiFtf1gSzXfEOaqLv15mPbEHEVHr0vL/WitCCznTHBDyFbTseoPk43gNCEimSndozE+zEC11Oud
R6uYD9laurRgDBKt5EckTbkJdTU2Bst3t0viazAMbxeSdXrm0Wabt3SKgk+Du6w9ltapc+6qIO93
zSxIyVpHWS+o2l0yeAB7h3DjdpXEnTXC5GEDkL/syqRMTPc6th59PVCsePAxzmn/OpS1fuPvNeN4
ruTac2x2yvQqKYL6EniE0fOmGHsIle9zsJhDubh+DmQTey+wfWbkW+XcP67QOq6iMooYvrWD8+3n
hMg2UUxplpm3KzUBm0npxQquQCnKnYst/72s7cw/yqIJzouxf4rSef0q1ar38Tx453AQGwiTS1Tt
WsdqblgJ508qJadq04bBYqO6WmuTN92T5pbM9byQCd3Lz3Uso2nnd+SAomV1QnUDqcA71w7cjk3F
MQOfUIWY5MoYa7ibaFHqvElIptwNLCLVNo/D8tZvmqDfqCxxb4GA5vugV85AUFyK6elSD+Wtx4tx
nLFixiERhYF16JHVql3br3TCWA4uqxTpO6FgZfUcj3X3kE1ibPa6dMV13M3dFUK6ZthJ0dm3GY2h
RwmwXe6cKfN2dsPfB8zRaN87S3qhVr+/nt00vctcao62cnBr8EdnmyxTtUPciQ0B7bto4w9F8YJ7
iUWUqgfTleq7D+4GcFvro3GGmLe666IHV8xhtqdJTMmftGACB8+uou+wE7uLpXLmT0mYlltFRtyD
g1fjmW7a3WoFFlI8nBvObJdG/2bsUu8yjRSpubPqP/iigZ+DK3V6j6eS+1eDIfmDXHTlnA39kNx5
nkeqK1FqBbQCmQ6fmwWZ/sYDq/GPPa4te/xjiy9ph0gYWxaNIWkIQXuTOLOP7kqERbkpSO25tfRo
FTtfDXxdmYzqB+t79BBZ6XzoZDB8xt+cr0giGy9r1ma4HiI/7wtX7+mAdHvWBn2eyyL+qBAh8weT
jnWel7xAvLdZ7KaGA4CPyzayK7fe5n4nrwAyomSDG0xqFBxOdxGhHInPFZLsyxEE7udjOyNQ7BJ+
BtDbJLhJ5cg9ERovubDn3Rx6QO2dFs+ZM2Lu0Ep5Bx3P4VurF7fDkW0T+YW41VZ7lccs/atfXuGJ
Gr/oocHgf6qQwFswn5zK2oV23e5hyOQ3CzzXo0fmEv9g1e5tzYvubeYMmbc/ufbWdSd3V6WLu5l6
/iBxxfqMDKW7712hL+GBeOV2aNP6ExC9elG4AV8WwOe7vmr00dQlX0uraF6Ypb7YEumXsXTkUoV7
ogTSq6FRnAPZTvtLEXZ6wOE6hRbmcBzx9pyZF48ogZ5z8dJbGe1k5JrPARydet8FXfHVQzxQ7Jeo
Fhp7URgNu3ywFvRgJfZhwJtyhjMJs+3YFhkK0UnZ/adsSItnSjgeV/rF8nJ1a9le8bBw2iigahzz
nNjcvfB6uW7rIRXXQzYHAFcUXrdxUXvnlFjN56WJx8M4WdWuGW2e13+xdx7LsWPnln6XnqNiA9hw
gx400iA9M+l5Jgiac+C9x9PfD1TVlUq3JbV6rAhNKkSeTCITG79Z61u+iCdY8Qg5fugGXGhFRP2X
pjK2xIyN3sxiE3cmnVo9NRxn3EXNRJT9TOqxS92llS6YYNKvEXwl79Do3hpFBRszwb1cAUouD7Ht
K5bLXadIV59GHzpHiiRwo5Bpez8gNb0UcTzdJM3cw5j2QqeNwwro1ikc+q5p7gNn4GGN9/McGgXY
uIJb7BRBdjKQdzUN+Y0yotk2MhlsSAfo14hMrc8hHqsP28GOT0ia4hws2QxLgWloRDrFEGcndW4J
Ph7qeW/jzEAYVnTmqc3ELF3Ghx2pZ8psoZOJ457cNaYALjrtIF7VuTSNFeVJ/YL2Z1JuPVwU6XU8
9G/ctewkBN8BH+laah56JEX+ipjMvNolqF5H0A9+6PNoldRfRarbD+OoynVRWUrD92syj3adcNCG
jo6WrTDT+EwicjKinbXIhwMQ9VxrTnWv6oP1o/JtQgi/o0DJY1c+JfS0gw2bOfeqph6JoA4yobuh
ipvBrayw86IlehQRZJgd7CWaNEDm9gtZnoxWqQjEvrRjkkwJG1DcRu9MsR67KtTbo2lPSG/+UmT/
p637V20dLRS70H/c1u2LAZImvV3UTvuv//2/lhErv/B7S+eI31SMhYw7GDf8taFzzN/MBWi2DGRY
Sv2JIPodhIUvDbaoQ0+5+BX/IIiK3zDBAvpls4xIfPmtf6OhYxz/p7GlsQCesYWbjKUdwcxe1//c
Nk1Z2/a5FdkHgZfgqGBEXw+JltyPLJ++srwHrk6cn0XKyCLlRm2aXHQ8em8Ueay2fKtRrhiMReCG
5dRfJf6V52TWoDlW0Cw+wzaKgz3Dtcpf+XkH5QE/TLDtVN/Z+GNqPU9GO9y6utRJKp2wSx/I6ky/
+n4yTn3V2c/hWMQ8L1KCW5GmqBpxCgX3SasP+9CR0b43+nQTh3qFCBalLoymTDe/wG2mP3NhwYFK
Z0Iax/4FB5i8T3ylm9cd4Qu/Wn3O7ljdnpO0Cxl35VFMXp1evUs/6F/GgOKK0NTwl4J4DPRXsJhC
6tHCrdNT5I0TG7/YCMYzoA4VYlMtp19Wpii3Io+Hni1nFlx6RWOiJksSSgOUXRHFly5PWhgnCG7j
mUE1LobwfSZsdZeafoMXzQ/fVFgt44osedtrLENnWJeZ6cOkhuEdy7A9FP8i2EVDGnjB7NgHfHC9
J4qxxGKaZeZDFgYEHVD8pZY7TSSoUldqSww8mMQA4nvhfE2L7QuGfW2RgbzkcppOTXKDn1SHzk+W
4lk1Z1ejqlylFavQmuBXrCKTiQDTKe0LxHEn2vq9RTKtlS3g17DYJYpoPkIFIfTKibK0WMnZpLNJ
h/YAX1CBUALno/hGfigL/YPUYAao9sIEoW4GD8JUt39NO7pXs5PgQ9RvlAhoErAi/kIYoQsDNoI0
Md6kC4Ekx5ixir6xJLpJKLX8hpWwW20P7TfCxFxoJjZYk+YbcCK+YSfKwj0ZAnKoecYhqKb4nNvP
vNZNZedTTT/73Rjvez2vNrMzxTpBFmb/XrJPYXnEvrVYoCsOtSrjP7wwW7VwePiNkYp8vG2C+LkS
BE33t1nBSMGqifVt61lqH90PkxVeM82Z1PSLT1cb8BZmNVpidyQRWGlOYkYiG13Y22T+JWgqZ52h
InVV2fZvgzGYe5th91Ng8xo+0jPk6w8Sr9NmwIuGu1FV+3zn5yqmAgKcIN/EhBExTTpMrUy2TZZk
3N56vZoKwpIDpoZWrtYuXMtig981W1XtojZGy8OqrNU2bH0YqQc6YTmJSnioo54LoVruWMh7IZ1d
OgjjNLMgX02iFvTC+bQjT5L9TDeOjI57+ut1btd8A2VeCcLHwdStm6bTacl9ZxvFc3vA3oU1i+f/
Xh+d4dQR0kEOSJZ4ldF1LA2zuQI6WHUHLe6y+0klM4/IENPwzDhv7xWnuc0hN2ZCP41S4UlVOAZS
O/mClCnXMTlKTN3j5lEhdOwCbMNaNTkBlEQaqA+1TDi17IwS2kEJ6WIbGuHWs02Ih8Be9ZrE8tcl
V13mzw6xSNRQ3NgKOKq4De5NM4cnUajxymefuooRB0D1aIhdpqnKEL2xslbiYnhERwPAsZ+cvVXI
eaOlJqB4LdbuzZLQYo4nqkpZG3vLkNnGhPC+1JdNdybSm7SJMR5PU2bMLzqajlcrM+J1mNSpiy8t
PFhdaz2y4O6O5WCmI4dUw5mCKISzMjJ85VPMdEPc+cF8J2iS3SgP4iuzq/RnEpT2rkB7s0N/HJ8G
le3jJmiCcbEVdCsMJdlqaKCXB1FSXTJUv55VZzB9au0d3RPD5yBC6ulnM7rGqt1kDb4tV+ei3IY0
xA8xM3FZmUHK1dawAdVEIDvOZxRNix9I74nmiTAJYCRQ8lNkhM0duV3DVy8MZdPjevSIqhAbYZes
aqTV0bDa2WtV2PY1bAPSmAM+/tfYNraa0SkXIxnzO2Ta0Xoxkjwy6k9/NZNs3yxWlQ9WNea3qgoD
SshKbNNSdud+bu19LCSZFmmi0JLaWsqhG0bdQyT14mCHjf6uN3yldb0aTqNW5Wdif5rdqBjqXdMY
yWqkoeKuGqYH+hzTdjNFjS5t77Qnger8RH/u70RoxKs+bhKmgDZHZhrcga2MdxG5iFdgV5btJr1t
0RtjvNHjFn4kNf98EGkZbrMkzi6RlvpPYT4PoYvboPkxfe+IZnhRJ40pza4hn55eXx0/sraDOaWX
86Pe69qq9FGCuSnZ79T6VfNUBYN2mkN/ODFaWLZcpoj5vlXhvUG+y4MW9BrLoLhcT0PVTiuT9vWl
rEoWW8BGrmFT0DNwMFU7nujje5hU6aMeMr50O/Tem2HQk5XQGMXFfCsPEBFv7XeIc1B/JzqLynSY
UhEVoCbidfqOfi5Gq45e2Jb7ZEK3hdnxJEqWtOj5Ozg6XzKkUZhV60nvCZYuBRnTdkvatL/kTtff
EdS4CiGj1ksydRBOnTeI7HEYx8ojXTkgWIrGl48yXXdLurW+5FwbBF53gVKuK2g3/6mP/1LT/qv6
mO3CPyuP/0+d0P2+N38qkb9/54+lh0MpbJicHI5kvfAnzr78jRLZYa0B9oSm0aEU/mPtYS5xsTzB
ltIV2s1SW/9eJev6b4JxGREmaFbhqrMN+DeqZO72P1fJ6Dj5H3oxSwXPyzvlTfwtmhh7mSZLrZN7
I7XtFeghXGA5mV2zH46HNKgIalIKbAXFMExfRtFYJyORFUcdcVj3RdEJtnWl8g6GUJwT/O34GXz9
0YzjiLuqNPN10EjrQjHW3E9xHz2yVEi9hGN3nwWm+qMofRuclBUTWWKSK9FUH+A+Yk4jG6goysuR
9PiunD9FCcs28gMTbMqYaA/YZJKDQxTX0bf01GO676Ijz8/05BhrUz9bKzEJSUTdDfs8ygA+Zoqp
rzUlsA4Mn2l5/XS8K0o79crUdk5TE/RMbs1Ru2G0cC4YYsVZnSJxRvcBwrcnh2VLv5N6VC7Bq+pE
zkVVkqs6mt0ZcPfjLIgzUk08a3klmaMLpH6/UEkwmskmc2VTw2irGsXslTpJumps4RKUDIKZL0Sd
Z6Si/OKwqbZ6zQSsiurUg7adPFUyNit3TGXsldkY75ymbdcMfbO1sCaV4kjrXgo78u/aLhxuLVF+
n/hupte87vRbkIB20Ke4vph6PN5Yy0UcZmTlVT4PVzGaLFr0biRhLSBtu097CrqEPyOgNJVJTjBP
PmhulcjuS3F0N6oNPNtOeSQEfC8X3wyZ1cJNGNcxtvXP4MKzvWIr+zSxknVQFfOLxL/vVVVv/Aoc
JslN3EbH1pSDZ/Iw2YNIza5QjmaNyjNOCLJnOr7R0c8dS8y0z8EUOW9WZWYbkhbLA1l2w0PZD9Wj
Q8TUeUZXdx4agS+3q/WIMEjZnOJOpA+ykKWXsVlz3AHH386gI4O5ler6bWZ+dg4CCWPTstgcKaWN
cAvaMxrIltScqNH7k4k94EqynnVARrWkj88y/Vyqv4tvmuluGjv9aIIP8rLSjN4624peqzJUsR2V
xi1jWrYbw2m84AjRj4THF7ua3uaulUXzGM8kvI9Zk+4zpaMG9znhndywL1pVam85a5UzmZ7JPkLP
uovjVGYQfBsyDmVo3KXlcNTCQfJ1rOqdItoNspH2HYAT3cVE2uFGK33rvdKHn0Y1ZvsAeKnLKs2g
U/UlWWclsUBWrj3rMvmcBhpABjNSe7Ps/LHodYzGTTl5s8jFjVwKCquROuZgKOjbXUe3xSXsER2u
BsWs3hu/jq/MDiu8nyxVPyPfDr2855fo09InO6LS6nUwBAK4zzEO+BAHXY/2BF6aazyT2YOlN+0H
c4K+BrWsPmJP2wfaYB4YvHtYDTAs8VymuCNE7Karanpv+OnOnGi8TH/O9zIhp64pSefsOCzfWno3
is3M306gJNcoGmiv8jG+LxsIevNYFSs9Yb8zM8Ra7ELJK97T8clCXncroeeu+EBp3Oow0XiEquVV
qcftAIv8WNWYRlaOszVovzy/GcQZn0TqVemt94nVVBbDYGLq6i0Wgb7LcehD5h0QMeSirz/1duKd
4H0fxGh5hTqMmz5VOwLtLN1+bS2c4G4pZvYUgzUVGKKm4G5uisRjyE7W+zQZ1qruR9Oh1GR5EvjT
poOZTHFUdJCoHad/glEpGcQnSA7TOqg45pC9sUesxTGg1jlPuS82qqq8xqDUbTcIZn0TpQ49j4m9
3oEXs0qV6CWxB7FPRSM24DMqV4uT4iMlk/roF6FzMzJ20FSIY+bOmHJu0bICsKx8hTGpeTdja/Ri
SIBX0ZgZdLZMF5cePOrKppjG5mmn5gb7l/Ps8NS4zDIMX2pbRqds7kkxbc0dT8R5NbHgupCACioU
odKpic181U6Kc8o6WV9bpvLnGPPps+JH6aVJsnIDaTbYks4drGctLDdGU+kv6IO1nQl5dlP7NtGM
Y6z9nK2gOw+oMt+lXi0Pl26Wr2ieoiesw33qmlEC5iV2Ao/FQ4JBORhWiuqHV1VF4DY40nD7oBrZ
3nLp89CY19PUlptm1OyjLR0amDEtwjtAdQNfNLjWjsJon0+WVNop0DuPLXO7GOfLp7TzvUgt4w1T
p/maMLbdlD1IBHdqxRzjjMulywhma1ZFf1H7QGPbSgrpUGnJeoB64/bwBc8Rt/ixQQ+zw0uDbTup
auctMc1oneWDeE392t9xMgFCajXCwEzjSnK08lnCGjqUra1sgUs0dwAS071BNOrWlEFzS6fBfgI3
529VUYmHsI8EL2f5ymqaFHPLaqG+1FP1kTfzRBvWcfyjSZ3BMoySOEZ9UAkItHVXa5SjkQs2vHBl
yKR0cSxi3l4wL4IsTFJtb9h+FpRkHAePnUEhwhK/SoFW6057q4Iq3RXkSrIjJ5kU3U9To92yfLv6
5ZD4vu/TUHPlOCgM4MkbsPPsCj6dsDCjezNqI3A5a2nR7G7oPpLWfAOE8i787hcu7ze7GO9zdWYo
zcqU16uyfZ1b0waz/SOL3/JQhpb12JeJ9pygGPtEMTK+4Kh7s/vcVPiqR+CMkgOjhkh0h7Jqqr71
UkYEs3mm1MoDghc1DNqbCGKI3Cw+DxotFjrdMHb2tWqrCQSP6f/qIlZqu7Qf+OAURloMOPoZaG4h
vG6i6vEyUpLPETCX4q3kAKX2WhAbo59sK3AaTM6VJRkBuM2aIi9B0TDlh66OrDckI9UPNJu0xT7S
5KMVGmr92IX0SR6deTrnrE+GGdN30Brxlx2OjfJk4KQ1NmrY+/mSl54UWAsjfZ0rYvJwRebb3mxe
GisYmBcG6VpMfJJtIF9GRRt2ZlQSoUmvduEnx62TWpSTaXiIankCfG8HoBsKw02g3j8rVq/sqEWe
8pnNfcgc+cATRHkArx6cRitlp5qr06UPg+pS82keUCK4bRgN75IQskPtmCwFpNJ5aj5OLg4+yi1g
+h3bO7ZgUbRHCIZHkjRaVkzgKdgAgUDFV43MBn6LvGUzUPi4UoL9LMEQdL7vH+pMiw6tCE6mmhI8
a6nlKfTNdj0FVvWj00183KMxIQXqiRoGMLBRAuEv8a/FZvBlyTiSAYbb+lDZgSzZu06U5AGkGmkN
whe/2OBTRqNrYLDnOraufkHrN+2XRnSo7z47aREy8+RXchFuA7lj1Pgf7dr/UxOn6bgg/lkXd/nZ
v3/9ac3x+6/8QQlW5W+Y61gxCEjBaEwRqP2uXcNv999dm9R+E0C8kMRrEo4lu4+/dm0G/xegTSHI
TUNlhmTz3+jaEEH/uWsTJtDdBd75rVbD/rlItv8mUCZs5djn7BbOFnCWZ0zRxn7SVaQBxpyK9RTi
LF+PZXEw1WWRX6hVv0ETiQTJpN/pyMM4Gb7otFcjnJNLYaV1eKxGHkMrraxGY90x9H/We9m/tgkh
J23APpgtiDaunN5mxFK2cbsezTAnqXuY1Hu6r+It7/3+bmbJOFKn5ANw25n9L/lF9bCNMpnsrDrO
Vh07xQ7awNR6psNbdMsQXs4qCAoJaGkiVENOk2XyyMZjDnhBheCAlBXpXZc2Exi/JPliQ1ndRYHR
Z+4wZOOd7xdN4KLY4W/PSvJSXADlibUvppoyf1a7sfQasnXFWm+MUjt0djBdq9Copn1A6nm8zgiz
YV3JGyQ5xZ8Rm7MSzvSbZpfFzYEIdj/HSX/HzN8lUwL1/hBmNjx/Vu9ePNTWLnOIklnFspjZYDD+
u9Y2CRmYceuxLc96oj0BZGitmRWUL4q22vkqQDov87VAtzzbID5ly8xIzKw546zOxSphv4pzYM5y
erwJwpFs1IJStwyq0FzFrNZyFuORjfN+fGnKVDb6fZ8gNmHer+JFMiK/Hy9J1UvH31Dk1KBZiqDO
tiU9ABo7pg4EMpLDG/t3cIAUNHUUUsPKaFpd42J2vdWeGhoYYE0Vg/tiJ5pB9Y9aHeIeq2TTL18c
a97NY2zMW2VcuJoJmTFpf4Dv05U4AwAAtYuivGn6Yc5cfKJDo74Gfqhp89sYQXuqv1qGclnmGsk8
p/7t+y7+z1b3X06t7EUH/4+3uuf3KP/555nV92/8ft6Z5m+ObhrYPTTOLNxODIV+P+9gnyNEZS71
fcCBF/3r6Wf9trho8YUzs0ILLziz/tjsMrNiTQzhUKjY+3CI/TunHy/xN3YU5LAwtjG9s4mB9ckE
7e8mVhMYUDoqZd4VPrKVjTGdmaz+zdX4v2lu/8dLsEdlJkf6HG8ZgfGfj1d/6FIF5vG8I+ONY4xw
dDxBtskl/e9r/v/xKssf+jeHOKuicTRCXgU6b6P8KMafrfGXue0/TLD9n9fqz3/I3z0nrAi0YNHz
Et18s8RtitbV/PHP/woKyeVf+atBaOEBMJGU6GpwAS0W9L+7XA3GyTgADLYzlLz+JL1cDJtIDBr4
X17aIDL5XheZz/C/8w86Bc92bHQI5vGoevA4Bi8q6/pZC2ddXUVzE6/r1rppRtYba5R+w8mpCXoo
fHK99XbstypN9wOCnw6OWtbFj6AsRsQxVnxszN4ikaP8kdkkOtt2s0kLtd91MZETDgBkV2G8sk4U
KzynZTnRMXXQriJytc26i/ehSK2jQFr9pmSsEN3QmMKzqBTziHQT2ahQGhKADJJMgqwbXWI30jX6
3o76NpufQMWka+AfGpuC6tPUMuvgR5m+sZWqXzec5FCHmhPgmPZpzCd5G3CZe0pnEZGi1/FeZuyZ
0k6V2yaxEfuMpXq2BZlVmIdHd9TG/l63iP6Sid2erBkPTzHb2oSYr1HPYOS4H+hdV0HRhTc/7odP
mD/TrZ8xPeNZYkFo9ciglWj+OeSm/xqWXc2Dz0nnJ3MwDX0NKOxnXY9Y241Gtr+UirCi1RjjTHS0
yA63o9nKG00q/9BygUktOBeTQWxS1mYlWxUsjhmUuRP7fh2mtkQA5rOSYB3fqAnK8NaiHYiVSxzI
n22DBGuY2u4rnscnOWs/HSQOb/RIwUp2SkTZwapaTGycmcdUqpcPTHDagodYOFTzLq6QNRMxx4dg
+HNLVjn/XjbyPuLRSg6ZYzTPQKasFSQ665ihOD+X2eBvdKNGCY78il2eFu+DXO/XdJP1Fgmp8NDu
koVkmDwXHaJ6oFETEEjGlR0cjEkS1aWavIA2mxBF4tYbMhtmpxH3D0kxdw8te6kV5U/DFwM66A2w
HLpfEPYHYPckpShFt+nZEtzZDpfTrXTVX2d1qa1JgwQPiG8p3uM+5wGdLr0wYdyqT7Xkq/d0DsFt
wqX9EOdAAAAMRMadRsCQF0Kk8VRZ+x8+ggpUF5riX7TBIZIvoYXtFmFnR5aXL++msGYIEDCJRqZC
wE5ZV6dKsdR7lfnL3nRK8+pjs/PQIepXS82CE0Xls59V840gegqD0ejFrgsrU9tXNQluXTeyWATH
4n/gqlyGTUPRujrZRl4xhfYvGSf2LyVYkN1KMxxryuUPKKLqJugqqdIB2WIDBMqBM+As18NnkQs0
YfxK4ZqCM+1HOkPsb0T4qdMuA7B9ShnbPgroihvw+MxriQxTPdvKa89gIP5qa36P7tgIbwIk0a5n
w2iuZTeCkbKiHgayVO1PNUFFUYHwunT6OLzXup6f8y5w7lAm64+p01I9ot5WNmOlGscB2+pV75Ml
G6e2r3FU5wCDjeFWg668jnHYXsamMk/qaE1ndA3GMSn13FMrMsgocc2HkgafmM5p3pE3b/crQ2i8
QMXQHiS15re3GldT7s7CT4i9IQh9HSHjoBgb6Bgjov7ckKHSAxPI+MuYzWan9hxCiZI1Hl8NgyLc
MbblRBZWW8CuYRwaNWueKig/hayO6WAuvL6iCh9nvMmBG8D6pdryQ3MdOxbKcCufD7zb4FFTi/kw
JVN1xPwxrVKinqhozVzECBpjZ4/v2tgikDTXlgyc/WK6xgk4FqwvF6NFmEQoM0zQFytbh4JJldBu
gDnWe6UWKX9GZU9b9IbKxvKXCBFNpM6q91laoLuAkqdR716hzVYfFIQtx1if3FJ2y14YC1BInAI/
osiZN0VvWTsSx/qflsjnrRbYxlHL1dwDXpfarq3E5XuTFOoHevylX3Ai/1fjdOnz1IzDHU6j5PD9
41puGkiKZL2HHpBpKH2t4W4g2eiuAb686W2yBzd8h2euLlwhCAJZ7X6/JMldiUTGT05KN2kOe6e0
FR9J0jYv1tg26x52HeqTWlc2EQKgc14i1dSaQLuX+ei/xYTyPfdspLzWAblgGLO/iWZVYOZZpAmV
cFZi7JIDCbvvjLXbPeQSO0HzHRtr20/EjkKb+Mip7i9OK7h8jCIVFOpOdDYTBNuq0pL2NanFuCsg
sGmuXar6HqUxfZuw++yACGokJbAw224twWPu2rzkDbMMmndOlJgPKuaE17bp51skGz66MrOjlQFw
1rMGYEfuXHa8LHto/zDOoCLUuutXSD2VxzIyBygaIx+9rc8qEXJ6ve9SPfxyVH46SWNkXLVpHH3E
RV5gNs2aeRvq5cpXbI9qtN4DtEqeAS04bAAq88GpTGVjQBRb2SiWvSBx4OgtD7vGwQnwHRc5mBYr
I7V3VoXTIDH12err9STfVULFNkRJzawLJDEsfKNXlpBoOqTIf8Y8w/daI5pHcIKQ9AI7uJqhwpYm
7pyHPM76FeZ8x4vqMvdsuqrXloIUOkmk+ad0IM9h1WS542mswa5tm8y3WRH9zz73lacMmh6OkDZW
17YCn/H7c0ra0f81Cd7sKPVhKyRBmQappY8Ba/8rsvfpEKdat1GMMXqDomzfHFCQWwUv0Yve4fDu
a0W+xEY5XXhS0SFXobKeokhZK0R47Cy64DNz+fq+CLN8A2s52ygJzuLvq94aWJCLxrbvGExuRZ4T
QlA38dGoyZisGLSucnLYyOtTxXY0CnG0qjDf5LAc99nUksVSZepqrIXkJgaiduggm975thrsVYTt
yer7u0yW5nxj6g2olnz442xH48VqYK5m2OtXi9qrcg163TtRxdnenEbz1WF/AtNSMFy3Ix6GaJ75
+OdqPoMCn89q1SyuEkfPVmJKQo5AVb1nSvhRJ6zXOBSmPQuv/A6G5rwG79sF7sQG61mgzTZcxCXx
ZkatsWWr6ZxSVG9ul1jxnZ6EKLp1LTnIjsz3eJjxf1mDsvHrcryrrIZHtxXi+4Nwrei4tOCkrzW1
JoMQeJqz4dnU71kPorD2ZYMNuk1p03Pgq49dMebbjgOHGoi53hF7Y3tXoVJf1dDoVqRxzOdpUMtD
5ZuL119ViONLcuURbjvyNdwWVMySbXbac2wQ6MOt2RplzAA8YlJh95XuIiXPvVbN02cBQm2TEQ57
wKWtfgAFms4ywwYnh0F8TOASOhR8Bfw22aBAbbgxI4whB8Bo861OLFIABzlt7Haq0eBpPfSMqS9B
qjsmyu+2h6vh5o0+34Q5cs8rOiTClc9/PEqlCojMxLJ16lridn1+9BrrqPXBrlX+rlFj6UVMZffI
7k1vILh4+YvurHAEnOsY4UWdI61ZdVH2oI1JvSkA0m5mqOQe2PC2dnVj0n5MwCBjng3VA9IfABJJ
pBwDv792OBldEN0hyn7lp1211laV+avepSp86Mk/8Wck61SAQGWR0tRb266HTZEGmkeKJpte6hIm
PUbdIQQVFomUqM7K2UB/G05XrYwKsuDMDD6e8knC1B0RsvpWG4dsqdsqlDcW+fJz9DgU4bwi2TPY
cVp5XIh+pQpc+IGP+4z0g1clR5fYxjqBn1FT+WuGWmiNddCmwm7JGDVKSapkyd+LAweObKeZkhM7
P0M6O5d5GKzIZ8g3JlPmyIUN2HnzHJOW2vXGLgGlRwJuN/Yb0J3FQ4kCBYpfINBNZVp4DGOzvDIl
Kl+VAFwiT/UMT0TZfZa9ZT5YKgzfdWqzS+n6aT6Qs5d4EiDFDlInDskiqORV2gALWd3WDyV6uU2f
dda0whBHvuZsmpvRqlE/12HopQ5cBvBNtOSAuA84LieQ/m314dRzdlSRle7YOpAMth6KQB/KLSDA
JDk2+Qflvfo2mrl9Vp2uFataM4pbX8W1glC3G67+DCupJSDHixWyWFsGa0CeMpZlCXYj3BksCBgR
+saHDGU1wMGbpzuptvEtN9piy4qlfjNr6iv8kaF2mWynfcOoaR0SvFkv/mQJSJwIuJ/F8oQ0Vfgr
IrTD3QgZ8BhGtjyHWdO+4CmEdt5WwwG5eH8kCiv5bGVMnFpI+rZbAG2/AvrNvrIG8XFvqvKdINIC
QxF+0IOaaPJUt6EBLZAG2536XNLrNrKDINnKJz23SHb3iSd1I9w8l0KZfia9Zb9qhZVvhDPbTEjT
GYhtGq/iPpuwh4bgiuswCzu3U8ZhbU41J1mcxrsYIYdbgkPg4+Vpe2D1h8Um1Gd3UCEkNuUMFCV7
VNLodUTy4CLMwJvD7HudOxNNsVq+1Hqss9FOSeYRLCYw8lEZe6R4Zo8FW/dTO6favq59SqlNkIFy
xpeUlHan7PRmULId7ZKp/JzatMOrggZU7Uz7uVUqMjXKzvboYmBjK5H/lOpKe+KhmF4pFeP3UdWL
p7hKqteyK1mWlwr+HcLpwA/grTR89kcJJY1U2vwmddAjYCii8UdSm5iAOghTh17rfrK+HECf2+pp
dOwc4kExf+alMFn9WM3aVJLLXPS4MhtdSb0WShKK0LggCaVEjIhRp71I9lWXmGIIOH8aAy63jepc
ByhBmhqFK/f/14ImBwaFLtLtcBy5ut/OB6doumuC03wtgzR8HmtSl8VkqRs1z/xbQ1Lth66UP2Tc
DD/kND7MzOKRZZh4hRiZq15czZzs5FgQzdGlD7ZjYdIOw6q+N0TaZCvfbLbkSIvt3DNFN/jG43cr
pEcghnXSEnPicKk7C5SHQ28aa8EHi0C21ZyE2MIUTMbBaD3S6vA8CZzshw/rY10GzgvxuMNRlKrm
8a+gfxir9kFG8otAm/quL9rpI5h9kGgJnkWu2xSfHWcevL4mFNNBvephskaqpThcFN23Xqw+lI9R
X+AY7iJu2NphhZ5TU02hiY5CMbxWD7UrPcjzEmt8N5azeQDU2bjt0JpEv+X+e+EQiZ7Wg71bmDOk
qyL6cA2FLkYDK73DFw+dvx/ye8QQARWuckPmBVPcnrKbHynm1apEgNPb1C7sNPVfKhAXouqHcgNT
Njj4yOzvcmMMT6mRGA9yiSEJVtOMk+IthnhC8F3jZRy3m77UsV62/8XemS23jSVb9Ff6B9CBGTiv
AEiC1GBJpuXhBSHLFuZ5xtffBVfVvRbFFsP3uTuiKypcto8AnCFPZu61J/k+CHqT/vCqd8suhXSM
Vu9jx45LZzhiQDox5F2T9UcgRBCwgW8cNKi6O5hg3yJRWH4SRpxYBIIHNlLJzzUxXBPKWYcRP2u6
HuqU+LcsXvqOVjkv66rvWp1UX1u762uuAHWUfl99TeQrpeqDK/ifiUe2BB/1sFWPvSrBIpIEAIbb
mC4QfEWKusb3oykr3FQLgEyuHTXitpib7FjAenVyYxa7KG5DryKFdTTV9uc0dT2yMUKVptaag7yM
zxaFloNBIdMlqOKSVA8zfblpss9xlF41Fb6E6vnA+jdo5DYf85DYWAcfiJVwn3mkO55bNe499PsB
8hDO13kc/X4ynyyuIFOyXBuNfE8MRV3DIk0k9bbyrItsvNJLvJPNWiORkqKLCAPFH4QUvESmZtwZ
sqTet5N4qSddegxZep9gGDWRB2qzpsTaTIGHOMVyKPFAcRdTv1HjuvDMLhwcuyAD8H4i9G0WFF4R
pThYNAJ26SmCCssatRhoW/RHnfzdIJGMiykf5Xm94z6e794f7U1m115HwxKKkiQpqV++b78lj60J
pC+yUwDTZWggh+UfcW5NmyysMu/Ph6IESbepgVEfW9/rPDXtPBXpR4UHi+zwOCU6RwYE3hu5u4h9
fc3hXDPJwD5UQPy6DtnWEif5aiU1INJrDFXAyrlOsy71zWaFWjN5KfBN+Y4O7/lPk+QMqiqaopGH
M7AAPRmUSpmiSiUgpjnlLao6/zDpTHK4k/5t0/sf8/EnmrRfz8eCpoRhUUXWT20eUzb/paqkxs/n
SAucLJASNjc72acqGc2M9MddNStkELMluukzujDf/5RrJv51pp5H1QBqwd1cazQnmXocWKpITsPW
t/FR2BB0kciox0/vD/Ia7PPXR9SooNsG5W6ZssDr+TLhyjp3Qm38riN1a414QTmhpQW3mSpTL6SM
jPwEVQbgvGb7/tDn5o9GJ5MqC4o3b2hQsIsnJVQ1fJBwCdlUmoFGIFkTwZYkZ7WjhURgc4ST+/vD
nlv6mg6fZS1OIXxcy/W/LUatFWZJp0zjW3WSHZR8+ISSZPFDk1krLObv+8OdW/u4wdmyjoDSVk5h
i2ED6FKyZ4ZrO+NYq/WOyz/KenRnF3YZZcXenE4YEDuYGFLcozvmBIsjluXvbwnManxuf81NfDl+
UOOeHAnb7RtSyvLOtBf5KQrWZNJIKv79xz03aQHPmRB6tTPeqKmldcsYyo2vQUe7N4Af3FQhW+z7
o5x7qXzCtXwlU/g8pUjqeHL3es7W82sXAFVGKULQuKnoSXXh+517IF3G4VaHzkmJcf1Rfpsu6dQX
QGtGNtSxBsIxlt9Mu/z2/uNcGuNkU4uNTjU5qBtfUbubxWx2up3/VV7/j5vZ2cnB/IP2wlQ0rDeT
QyT22KgdPmbErjdhL6sHtSwolA1j/CUCjL+pi0H+gFIGJIeGptsGKHvhs71detCasenFVwMyNRP1
9bvU8RXSpFKg1VRQj3VgZFyUOPV1JiX1Pq1E4f3pe2U87DwFcZSqWKdrr+ZaZc+VVvs5sPgr3Zzv
IcFYF0KJt3NRo4ZuoK2Grqkh/n39UCJUuqVJs9pH4wSlpypjt6yGa4u2lgtT8cxIPAQgTKgGBv6Z
J9NEQLBf5tku/bWhhKClvcKT7Fg1yeP7r+3MZ1IsHcYW34qdS1837t+mvAmAWRMNXSRLLG+a7Amv
JDdJCxrdggtE0re4LBs2129DnYQr5KhMIHwM1Q+CxH2hh04+WnClJzH0m3oolk+zQTwGpyxo6GQh
uy83dfAVO0lp0y1qt0mo/u5okmop0OGrTuFowXjETqpDp03SHrricoPNBgn9usBjK6RaxL2q2+DG
mXQHa8im27HsyWDjT5ABEEV6MJrxcuFBdZRIJ3szJzh1PZkFoKB1P9mbUVhKGs6JvNM26j6LfIVx
DvbDTAfwU770qMGy1Q49C742GCdsrXQmZzKZe5NO/NigMqvUVeqq/ac84GLUmRG0hfwBL56bJSCx
lJdpvcHVl3xjjFibbn8NmBISO6cZaNiUEql3J4QWPrXt0es6G3kLnVoeKTzrOtXpZUhSiBMT+7Un
6KWm/3rydJ5Q8LZUeB9iaeXvVjAWFw6tM3MNhrlCBwdnFiH/yVzDUbQm+ph5Lwna4wHf2D1fffJx
+0WBMgXa6L8/ud8GPACPAdAib6LtBeLB68ldl/owjFVe+sLuQBzFJd6MYdNdm1rV7QI77K4jUq9H
UFXhHzGe11ALrgH3SNB4uDu/uXM0IZ1hUW8WPmmu+cuACPFbTb3nSANi8vOPH5IGD3Yjch38/zR0
pC7KfXPugYYPDVURMHkN6VqUvlJSNHs8mWLbbSmwz86okrR/f/Az2xRxFTAHeTWIp8/k9Ru20rAn
7VQUfhuU8a4ei2M4hbR6JHNz4Tx5OxIcYdaTRYcRMIrTzkpyQG2I+DnzVdv+PM/F6Kk20OAG6dAf
T1PCDRqmaIzi9oFU6fUzVSDj+hD0M30F/ejB8/NB33zAiM3cknj68acvUEflBzxQAZZIO8fJFA3j
rCp0+K8+bTWaL1UzNmXjTE2nzbS0vfAO3y5ABiO0ITQwKGifHl81vSGR2ec8maQfI036XC/2j2TS
juFoXohB1rX8Oj5lKK6lJo/Gnn9qEpEjbJ4LiUYMrco2GrlSURoAkrMB68tiOJCmvBSNnh9REIoK
ZBVYG7/+bBLUC7tcR6yV4YDg5qmclaPWrAzgyMwAA6rXf/7pCLwxPSDqYMT1bf92dBot944usFJf
6vvDnA2+rqeQJeQLw7wNGHVcA7gaQugl+jhNKOAdMMUxf7UP3EM6ShaUpgoXyM37D/N2q2QUhf5l
dmb0PCtT9PeHQSkwgW9QUr/Bgskh0+Ni5/liFeZ9UncU1O3F1ebywi6pvj0pGZWNA50txtDm6VJD
f9QJrn2pLww6mVeqNmddlS43k6BKv+Ct6bQz8EkgCHoKWXsRFWUv2dp1Ux3uM+rIWxgXR4yP6wfR
p0gbq4rgYA0L6lI1rmiLMz8JpGs+zoPGhZ/+7IdZYTkUA2ELn34YWhIwltFZumSni00yi+QgTeQ5
3/8w5/Y94KdrSgnd8ZuQM9drjpGwzPyis8BBlYMvp8rRtrpLUcuZBWsIk9iWfQiD+pMJYFiZVlQ1
ylIVsAuNLEEEmlKetu8/zbkdyCQEQB7NpZx393qaLYmsYpUspTQPtQBELY6pyei7Tdtm34cExNT7
w517eTwSam0LTC78otfD2V0MrDhiic5p8GN9d01s3udN8Pn9Yc4tnpUCuxoQcDE4ncZTC+lmwQbe
z2JkdumsUGILjB8UW8ptExr285hVyZ5sYXvhqDq359FIqhNXkyl7c+khdSrDIxhSPGnUD10hPS1J
uK3AwCfLR7brC6Odm/Bce1DLo7jAKubkbWY8o2VWbepXYZXuctOw7kc1kbz3X+YJJXuNnbiD8zJV
jiONNueTfVX06oSJb40pYT/Kj3Ekl1sQOvSjJdrKaG+t8VOyctf7sqP1fy7SWyOztF1k09OJG5hJ
YRmohFIHUEhHm36Mvk8u3W6Vs2/e4obNysQm5zTwaYJWNkY8NHyS3JQJuvpJ6UTp0lXW7mPL/gzS
p8J0IKKIUWjxYzoO7T4Q5TdM21HPVkC+x1zfk0USjjljSyEinuP9F3lmrVHTJgS1LI3k4umBmFn8
DPFEuD0Wy49qUaCdVzRTBhn9K/PT+2OdeR2w+FnYxpqofWMzoioAbXW7I7QPlB8yCQcvx9yinbPC
t0SxYj/M7kKEcWbRQUhQTCIaTqw3IfbQZPPUhCWPl2DkhJ2Tq9K1Qx2jWRxNnetPdTPilqcUg//n
z6ooZDHJSBEgnu6UOviauLHb0ueudluDaCIrnd2TjYdIloaPs43I8f0Rz31JXi1pAIjTgq3s9TbG
Whm7Vq9LhOVh7c4KuuwCK9n7sRa5nyMPvTDemW2TBySG0jjYCBZPVmAeNHoUl7zaaQipXOjN6Ml1
WXtoKK3/z1ACJpyNgxl5/pMDobL0uMsLrmgK6sQ7CLOLg42neRX3inJh+zo3RzUW1KpDWDP96uu3
ONASVyxkBvw271Fclj8No8byk+8Xh/W93cOEef+znXuNSNPg48MtJ0I8+WwK5vCl2i6Fv6gLPX7W
+ND0jVeRB7gw0JmNmZS6jKMQmWdkHOsP8lskWi3QONDQwnQLjc8gInb2Uh8vPIvG33ES0L8a42RO
rBSIRMdLxqehX3HAVVaH1miNB7U3A5AdY8tblEfHGJvKa80k/FSiv6JZiFptD6+S5B/C+qaIqfTq
sHUkuAGb0Z4zP9a65gAXKrpXBRi6Yh6CrwF+rzt8GyhLA8pwaYMN9pFhU6TA6/kOxewqJaN8/7CI
nGarQmlT7MFb/C2GOgAtQevoByiVRIdlDKAPCPKHaLKindK08z4zaNEctCi/GaRm8O1UHOMybV3e
cLrFLZien4hGQZ/mRPRm41Jtgh4Dx25Jx+tS12J3jJN++/7rPTc3OcUthXmCDuz0GmgiVe5mk7lJ
m/BTPXVPdlR90DVpq+XlBufj8v+x7Ii5CfZI31MQOlkLRjQXtYYo2YdTvOacbkc13Y9dcSF4fVtW
w7iUqiGJP3IEgHNeT0x9SiOtmQSQODm9r6oYw+/Rfq7TTxShb2hIgWujfgub4sKV6RQxuYYQjEuW
ljfK5fo0IBNVXsN9NsiJlPPyJYIU59iNLt0jdJGzDT0z3HFqiBSbLh1qD/MVheJ2wUZeq8PeoMvf
wHJ+r8m9tFU6vXADGkOZcNWOeicVbJF8NxToy+NEK2BqLaEnOsUk92ItXqgEH9VUb117McDEdYme
Oh3AxU3Cz+N1WfUTzYdyB3MScu801lsUXfw6HjJu1HbJxpIs9bHWjEuf4txmZMKmwqOGNIO2amB/
3yMwjDHyIoXXJ3dPM+VeZx7lXap0w4WZdW4v+m2c08BoqAZQjGIsfBtyjluQb3DxMdi8v1zOHYim
tvqUqNTbzF+ee79teHKNG3utN4VP0cl2sa1yuIx/LlNw41E7XxCdnR2MfCV3Fmxp3oS9ZsNmVKCJ
pP/OxDmhXHaDXm3pAKWXuosvvL5zG4FJ2p/TAsnem+A3m2eMlumi8vFLuVdbXJyVYP5cZs3PLqZn
ITIvvEnl3LxYa95cYGkheGMitSBR5f0SpyU4EaLyUpWDvTTjXiUX75WaFMHYrzt3qoT2EMtB5M8h
ooawjMHThXa6FaU+f7KQBCHPCKD3XHgfZ388NkTSSORvxenGOE5BK6URYc5YVz81ET5G6vAx0+gj
eX9GnR3HAgdCRGmukrnXy6MdwDxU9OP53EQrsjndUzFLo1f2zYWD9FzYSnKKpg15/Yd1sg61UaDg
oPfS79CMRC0trmNx35QGFGzlQ1bWRwzhLyQqzk3g34Y8DVhXRhI9enLuY5Kyg1H/U+gZze3moSmH
C3cO7dz85UZKkYzwcbWge/0eu5XkvkxWzjajzt+6qHoZYwEVNFNsfK8SsEaVFOOAIhebuF61BpKy
dmY2NP2Jof2sk1T5HNR26/cqigVUbeiMoq75CHm29OwCAEQetPZ2skb70TbYNYHwtjRMSe2Ez8ea
2izVF3lUkbOUNlJ7+VtS9re04lQb0OY/Y3sY4S5p8abPZ/VjRdM1h71qXJhN596CWJW6pDiYt6cF
2CyrWnixFZFfteyXblGcTtY/G5VxRc4UMPA8Xhjw3CdelVk0ylgkW09fe5VAGKkJhvy4FvAsq76p
tqBmbU9DfB847dqT/v6C+dU7cRIQ0jGDUSyYPNJop2dsKM0ZVdIs9818EW409uZHPVIGsC1Y80Zl
lj0Cb8L+Vadz8pdcwI667DHvl27T0dK3k0ZQxBdew5n3TrCxSqABl3CdOIm4hTnbYDy1zE9FqG+i
ZjZvioiwcU7K9nPSKItPX+T3Cy/iTBKTrgSyPuuuDc9afT3lw8lYqmBgReM2TiurFupbGlK1LRyu
dofnkuYwU+icNFYz9CZyZ2oyKC90xXv/B1nZGach+qoLpx0D8DeFtpMfRKY1AsBTnKNbTjRKI6uu
Iday5Z7e6sK44s1Y+y6hGxmJFXyZjCQyBtrUUeMmGu5GbZS38xzIXyKdwFvtFvkLYXGxi0amFIop
iL6TMHa05P+cacZmyx42uplEG3qFda+Ris6PzNpabdotzw6v1DLVPqZaMX1g2SJCm1kInyO7F4dM
tr7K/Zz677+Ac89PBQwNurVW6E8TR6TbkgxKAs+fpdPHiLY0fzKn+HOsSNH2z4ei8ZpeA9ToHBtr
FPRbAELRqa6xMMl9UQLbrWp7VfNNFeTDKAs/vz/Wr+92utLW7K/G7ZVj8PT6X0hm1o/4g/nVYAS2
g+fOjNhr0ZVdUJWDV8DluVJKObjrJnW8VUEp3qudJFwdx9VdVcjNX1H9f/ENF/ANa1Pnb5/Oe+qe
/ibw3z7lmLT948/2r/LlX26Z9fn3mDTaXyicldH/15//m+VgwXKQBZUW3aaribw+s/kfloP1b3Yw
eshJbf2DtfkHQGr/GymyWCGjRIi0hXAQ/AMgtf9tk0ch/UY/GBVh/tMfoWxONhNBPkGmVZ/OHQOT
tfXJf5/hgK9TPDMnGTVL6ebhS4YP6zQHe9T7XkF4n8fyoYWzJIL+i5JKoMnbC/uZOA2V1h9BoxYB
YkqQ1VBOdvOShHll26Hsl80s3wb6l1lU1/BNNkW+DVN8ReQOBYQAZu/oGaoc9Jw7AtxiM6pf9QE1
U+TBEAxv5EUC4W1vOwGmxVJuAbUEjm4MDqQ3TxrCyJGrZ5IS/CaUAwVyqvRb0qrA/LDW0ZGIx/On
dilxxqAcJW1mQ/g6rJgIU1fzupaHgrZruSt7R2paTfPktOcUKEgE0uTBnGATgtUMsl1Xtauwx6oE
EPm93rXQYFDGxra0OkLZjtZpLX0d17rU32dR0WM7RUe9BHTNFF8V6mFtaD2BF0RYlqDTNpF2mJab
14DEuWD1ZeYBLUbNlj5MUnBM6rHZpG2+GbrqG5wveYdjyV3YWleJUnxfaF/qktQlfZntTKT0zggl
wdGK4jmfdC6GiQ23Uh6f6dLxQrNvr4t2NBxYqG5ltgy2UAvXPoQ5Ed2vJfPfzeXC5kICe62G/S+n
5M3u8hCVP37+a99mT8WP33eVv//gP9uK8m/QV6rC6Udk9oprDCJmLVPSjUf/9itCDHws+ivZiNZa
Erl0tqJ/CDH8dboBHcbQ1h3qDzYUup9OdhSOZs5mSkd0xwoK2ifhSd2EfZMLQRYb7SnZlKj8CKG7
izehLWh8Uo0vYz4MN0BLYoiD1ReSmdJeHq1b5GZYR4OGS72q1fN7MeTFHZmcR1hZYYx1fZ1sS51g
d+klFNUKZsD6LFl4W6FmslvrtspoiKdT/i6ZxuYJ0eoN0/5Gk8ZdAB3C6xpDuJywzO+hB6rYxC+9
3Me3Oe/Rra2qYFMoazB59oK8S8XAQV6uSiHfYeCqoWcYn8pphHiBWHLWyUw2XfyCHiz1WPTzeg+5
tbRpN8Z0drFXvYi0uBmV4QGmX8Te0m91Nb3p5+UOb58rOeR3NYkE4DV+mquu9Mp6eTa69JANyopw
+VIjmy2zgP61PNK4K+k+1QjTGWXIdzhdLzjb27dKp31Jh+zJkheFVMX4IDfpzfoGuhwyqZ5mL0lV
SG4bdslWywAkazmYqB4fQGcYhyNKwAe7mKAjqyYKnkw8j0EqdgqyJjQkV2mvlvuFoM6VxpYXg7em
bsQHlR4LfAimoxnND2MFxFNLD+GUPTV18lQuxq1FNtB0UG9vdB5oxIebjvQ7PeNbzVqHMyIKV2lV
hEPWcCZM6JwC5z/khrwoNcJDE2Eo2lZVJmeZig4e51BedVU8b0JpfZdR/tQr3K3kGV5INyKJXceq
2L83Ur3cQSS+69RxB23xSrFDMJODfFVZpeRSJH7RMn6bocQ3aTpdqXwc30ZX5yTIQ1G0zo9L0CEM
wGPZi2lO8NKWgYbYxh5B6Mt1YyQHco2PjV4H8GmmYy4DgaBNiRQYolK6o57gpgpaEadnu1yuBjWM
3SRqYlBg2E9P8ne71j6IMVZcmsW2s9r5i9E3lBeH4wLsm3x7x0TV/DDnG0kybZppB8Oz75crE64H
PHy+J1GDdhAWM2FC5e7Uaq45VSs/FqHyLLQRJszUFKAh6YW3hmPd9Ed9yl5ytD+ubJad1+fTUQuU
CD1vV20zFROsxZQiF9Iq8O71vSsFsnmhfynrItlCWL+tDN3a4kgGm59vQ5adqYgmP7aa1ZyD6Sgp
022lIq5LAmJSK8GIu5GC4V7Dg8XLphA3j1o33Fl0g19b80DnhjHsWwwO9tMgSR/SaM429VLlHwra
o7YyyPJDHtWtiyGg9oy55TeMKiF94DgYMmvKuOYykkYc7SKvNc9Kl/EpsEpkq2EFeGSHTKZ4TIvg
MZ8ks/cWWAJwT+Fvg1S+1Yv0W4NG2U2hnEyRSc+0FnsVMuzNyt1RvIbmiQQniSbERatLHNOqbzMp
uitKTE1osX8sJQUP7t4wNkNvPAEUap6LArV3Ia03JYjhtoXavVqEuc3jvPdU3NbulM7onJD+C2dJ
1OdSwUOjJYPtRIPsQj5Xtvgq891mlgD3Z3SxgQKQjp78D7ps9TvMIgJnTq0vlmTe9mo97oOheZHG
hj7o9EKfyNtMA20ohJgwuk0y7Ke1wRjCXY+Io/T1ARNnrSc3GNjTbYwOk9qv6fx2xN39dcl5ZbL7
5szAbJ4Dbe2ihQJzmmQQ+tgXJmBsH9+k0iuU9KBCrXBM0C8XRjoNNgFDkzmwqcDIa6rxNGUzWtak
JdynfLVLn0TAbrhux4kyAlYn7Cv3/Jt84Rb5tjzCmGt3KB15SP5PO8hCrcD6sw0Kf+6MCEDycCwn
Frak6f4oGZm7Pi/dxFdNy+72/ov95bL1+lLJ2PT7oAOiCvSmplylIVAV8LxUQxvNS8rcvpsD3GvY
Lq6SMkl9hHnPYwvWi96F4ZAMLesWM0K4T/PzGkCHxXJFnySnLgJsIXLJTXrwMfZ4NZps37apYumo
M1fL5KbARDM3hocpDx9lMCyeOem3PYxEdypJAhpGWX0N6fl0dZvt4f0nfZsVoOBL+pi+JvpH36TG
1CwWecmtwI/UdquX8h2q7bt8aS7qVN5WSNeB1tKysQpI3iSfRmDP/Efmqsj0fUuhclZifQNkR3MK
UySIHtObDuuW+2yY76xOzu+jkDNUX8KXemBfXkOVJCWAUNTpKpRa+PNjf5SEeas1A/0tbPdGFeco
ziNzV0/q9CU01HmXh2q1mWIs5Hu5aR+KdELfzLHfq7F+6GIbvLvZwc8s4pcgNkzKoRlfcbLL3SQl
L0G5PNphv126lsO70vxoNvwoKmI3zBHLatV0lVrAx3D0uoOIDkBa5e8WtvStMdLZtRRirPc/2Jkd
hk4Hrr8KGXIV2zn2hN9yK4uF76MuaSRPR9AmhBMTOxt4UNORRu1CyogI+yRlJnC655wiI09X8alK
pVHn2Mp0ajtGOjzobXyguf7ChvkrPXOy0qhU0bi5/pO85Poz/PY8cVSnXSbLhV+Kodq2MZwNWKbP
604fLxoq5AYCj6r7QlJvx0BEG6vI6CQMPuO38d02B9yTae3mrpho/pBwiEeC3ama8xtFCV8Wc9RA
N8U0n2l4qCUGlUrsldvrLDY3g119sjt+2WxtjCHmeOVHEbcgHepcvGSrrdpgP6WJWt0BY+0cWY1f
jIIpiLD/ZpjSQ2og67TNhAAV07nJUOByF1HsDnL3UBZqtNG15UK5Qj+zYvkW5LlI5NHQcFqcLtSq
m8o5L3wF1zVniHJAYVgNcRdOeeaIN4DfReJls32bG6DfgraRET7nEIKYy/iYbiSz6LdjAAamM5XS
6yP5y5jgV4cqcsH/yLwNeiprfWDcRkJNPKNhJ6pKzALQBD7K6vi8tLIDnOzjpBEdQiiE6CBNuzSS
H2cCMacKomqnZeMOuNpDaJiw3Brmp47624F1iDsf5qteHmRgiIzlUVTNcPPHi2SlYPI/etDetnKP
YQ3udqScO9qFR4gDaHHkx9Hl3gmqS2oGmn/erhNqOTTOkFtfazsna7LWtRkJIN0fjdoWG8VsKcYE
ySHgpBIK32cpmZLLzAUJ19fOgUb2JQ4zwFcEgH0ZmE5ZiMrFHbbeCBPkbEyi1oEh871NlWtpsD9k
Im/dSBDtT0WpeVrVPufJ8jBl81VurYcx0yzU0qdgXKPUEZbjIt/UPWZdU6lCu4MM1iWkePikv66X
iz5pXmzwGwVEeFPq+BPVOGyrAJO3bOnobrWnu1+XILwoSm8EG3Ao+vEYU8LybHQNuJFz1TOW8dh0
gARmDNuENhzVVLmrpRguOtGaYvVeXKSzt/6LlPMrwbBOyKqHhqk37WZdRu1kQOQdj2a4XiAM7HJs
s5LcrCZakoPkZqpT27MqfncjGV9qQFJu0QX1tTCm52b1lOl5wUkW38QadxZBN7irZ/qXJBoeRk03
Xa00/KHID9KQHBYA01josYBJ5xy4FIMy5mSJw4GJyeowx+4mU4xvgAOLQ6oYt0M7eBqiHHe9GE1L
E0MEArtJnek26/QvahNfOo/NM8ubWGdt+DZoFECO/Ho/zHCcrkk6Ui+x5ueiHR5o6L4lvuDlkQfz
1vjr11W7xACQnB2R3q81X0Tddh7b0akT/lidw0Hp6CwUqQC+1GgWWAaa4yjjozWY+tnPlFbigpbm
qOL1GMVjFj7XUiZuKpgX3hJyLnZLJK4L9nI0UNqtKrHHJN38OGiEW3KjQc+UY7RUYQcA1CayDrkY
ch5GGrq/JCTMtpL+2A3soKgtHxoINi5ghZuh7x90o4932PtOGwzYNa8eFyzPx2MSUBLLFQkTu3J+
Ntul2jZV9wDOKPHT2LwdOES4ZPZHDVjaGs131j/n638zbJcybBTpOHv/c4bttoT08y/vKS27V3n7
tbrHH/w7w4aJrkG7KmoJE69vOkCJ6v+Bzsvw6GkQYUNeq0K/TMX+TtzrAtA8XRb8Zxk5DJqR/8ux
GVCdgQv9L59Z+ZM8m/6rg+D/4g1ya0hFuFKoa7MofVCn9Uhd2FVrThbee2gvwmUHRmTuAq9UZSrf
7Q1YI7Gpco4PZ7AN3GQIZpevEldjxVVj/OiHSrqGoA4BqZZItM/481jl0t6UITF0o/UHux4tT8+E
eVX2hfSxLtoKpEkoXRFsKk6l4wlL4DF9SlgQ5M7KRNopVV06eZvUrtlCf+TvU7ZqXceFI0A5g9dB
kMjPjam1EbIQohtTy5sDtTDuwHVwD3juw8SZY/EeHR2Dar+G2cMdw06xCTYPih54Qc9OgDHFj95Q
Rq9PsHsgbMKMWyvmm6AJcS3tuDQP8nMkmbFTZyTSAyQv21lelp1R4p1WgCEDSlJ8FvOQbFqM1b0l
gwM2NR/g2ukYS6TdE0td22ZWbruVUaF9z03GzxUKquQxvK6whT+3ffxghVHJUqfmjF+JcMlGBc5Y
VQNSlORDMwvZrVuIqTk8WaenzO7oMsKLiJKIF8aSgTsZFN2hzNpDGls3kSICR9HyByHn4wbZ0U7k
vV/pHI0BfBNnFkDqdLTcnhrI0IQTxaXJ79HohtkduvUhqpQEUq8FxE196DaGZG4yu/+et8LTpik/
VIUSX1Xs966mwoBYrK2EOG1rLKBZ+hRjD9oELbrmTF8E4tDNq4HQWoSJAfM80lFROvTLGZsW6zbS
AtO0BdghHAkm1l4to+RoJfRCtIo9eJZF21s7KXhpttLstZOsQ7jiZmLY4W7qAa3VmqlvhJJ8q6YK
X2fJ3mOUhD2ygX9Uj+EMaM9wF2k9VsU1PrxZJm3SpD6WrfloT8t1olJkCQdT30oFsmZFXqIdCLCn
xUi+IWfSdwnQagh1eMzLIpEOtSp+6ouUeECjDI85QVvw5JjjaqfXhLTLJ/DKQm47Kt0UbooPyABR
0QXCKcNSM/a1mijfZn1R3LRpryYp/b7M+kT+yK7wR0tmH+uZ3F3QMzlSxlyIiwQfrLDS/YhU50an
zubKGb+WKs0X2Lu5l1pAcuhsGeBozfVOsfmCJZn1rYkLwTbQkk/Em+ENqKt8q9nfQ9HKB4SXNThQ
UzrSW0A01ZuR7llZHD/kQ2q7RWvCMiWbtsPVvTnKxWQTtoj0YaG+7bXtctN2Tba1k3TcqHBot0va
5x5ED2tTAO9wOlWS72KzWXCsgH6ttHZE+yaeXFGnJU5pJeZeUcHOxaE9+Koa7jtjUK9aMJmehP/T
p96An9tDGvBUPbFcMxSjh4SidmSD47Q1EvkTDjCy00mKycqtly3dQxYHKt0zzZIWH1NJm+8IreSD
0q3FKIHZLs24tIdtqBOO3tTlxPQZ7gvaTD8wP2p/bcH54zdKnPJxtitT85b88vd4QFOdFHa2H2oL
zwV7kDxr4X1WS2v4VpSR4dPklymIaCEa6c2qhkV1ErP7KNvxHkiESY+cFcOSNR7MIKk3o6yVm0hM
5O/GlW2sT52j1uK577KHGCBxoPQULAruV0kMWj2WfqJRm7dZQ26ns67jkd/fom0fTThvOA4XWwtg
qJs3eKPPwdA6qyMZxIv4qS7D0Qnt5WOLvbVvDSm+qtzPndHuO5cL9QxLqVS9pqiZUqHZ3Myqte1z
9UnUGvXGOFkJZq3xMVBBGFLg2PQzHj0std2k1z+HFicNa5mDWwNV+U7OFOWAQ3W6BYA6YIpVtThh
pZhliNz2I03+UGbqN2RN18DDkz0OZI/22FqOFZudS5xn7vGUKo7gtz5jejV6VWX9NKMRFmAQd+4Y
ZkdV6a8svWtuK1s9xIBniIvK7IbOIoe+hbssCgov0CIbz+P6pWl6meQ7OSVj6csd3eixFxhzsqlh
VF2v4I6dPjU2QLUAs+iEplAt+iZofjlSlvFLUKBXi0nr9oA6BF5hNniTzYjFshzrQY/v4M1eJwqH
EPVTUD+jYD0rYbZtyOY6cm58rFJgrWZXx1dz3e7BvVTOgJMeVk296mQRxwsGL+ZXuk++AJHvfWu2
fpQ9BDzyPBH5mI4Qu5ikbQgM27XyQXzosuGOkg+gXYpm/ODjTQVl2+0Mkmd58FAmC1llIPtQx6k2
mHq2VyLpcy/gjtbS9EMDzcpe2Pd7e1ga9pqYElQQmEC8pvgQDf/D3nksR46ccf5V9gUwAW+uKG/o
imTTXBDsJhsJn0ACSABPv79qudbsSgrddZmYGIlkFUxmfn/L+T81WOV0aHhklocVKILt7IAdvG0a
aKIzS+kQFiCtXRrkL3rMvMNihE9zr06qaLsY+vynYxCUWNZlsjUo6WLI9a0tCVfhxiIa/xhK04Yf
YSdfWFW3nd8xTIUzbczfS1/V/TMGj4TSY8IY2qjeUwyWufJaZRw2+lufjNAZq7z1VV7GLU9fFd5B
8kRaxoGwi+tL1uSVp5x9azd427FU+Xby7Aw0kPsFFXzUNKcgpw2rN6DFQgR7AWmUeBfHrQK/eyOp
t17qI0knKohWOYl4AfmzTFOGKIn27Jau+8tk/r/j9X84XkPughr869P1+qv8ILf963fu+i8/8zfq
mi4mut8ZCF1oBbjVfxysA++PAF0bSUfX7KhfBPXfBDHRH4ik6WgDe0X6CEv993O1E/7hXh1p+Iq9
vxaf/Bf8tRX9Gd+9zqvXPg3zaoribP8nDKTIR5FbC4k2sz+LVxJFarn2paNJ8l1oqZyCruq3sp3v
y8YmsrkU44rEmmhFxaPckhtYk+1I+PZrkg0V6eB14a+yyNRfU+8bjLAip5CRhtky7e/r0DDQ75Xv
rtGh4Rwyua3Z43ezY6abbkLnyKk9yPZJ5XmPea/rM/GAy22Ze/SxhcB/BF6pxF0lnBaOwOLFGhCG
XKigFNS1AX3DDHSnqe0gsCqHrtXJy3eaD8dq0vnyQIRucmiMrr/UCCmPdPq+051hvGZlRSx2W3NY
peJ8h6wk3WAGhWQMlbxbJsVwO6mHMUw/PfblmEObYHq3H1zS9bdRVIj1TNxlnKdkOJtp8VNSDwtf
G8Fz1ybKUPBtsuNbyMd24a+L0X7wnemKxfU3fQP6PNj2Q2aFT8k43FgJUYliqh+pniBSVLMolkU9
xnAQ139UZ0DEsxvK16QC/sEAOR0p53uP/ORwLXCMUfE9ALe/E7NPw3DTPE65sZBBWxO96QixLkI5
bAcTNjDDtsQj+DQ5ySbhpBMXiX/9CG3se/zqqJ2cXbAEJgHWhrElfq95TFVUfmvmwf1mTTQPUE4v
VzRhOVu81xONtuS7CrP6CQJwDz697BPXOPbu3H40LoWAEjY0FlliO6trgIIObXlfam+fhAtZ+l7f
3s2j6F7pHHnyVdbsmgnkxlIzJXkUFmwW3OR7ItpDIn3C53KRRguCpp9TN0mPbkVb9CogwRrHVTL8
MMy2q1dkcjoPPezabZW1EJ3aFlNIdV67bBAjPTrQuBunq4lxtBvnoso+2qqQ3dlxhL9KeHNgysnG
FCVRy2M1tdGOnEoyjFNpWXGaEdydM67GfTj6za1tTcMppasUlBbQ6zlwdXZibjTfXb74Ws09GvEs
t7O1x7VstlbYJSRP0/tx0nPr9YeGQlMiy0FrfjKwLQZB8E1DinsU6JvS7qAI09otSHAm/C22ypTW
09x6/LV8/W+h/w8LPcvtFbP71yv9y5fq/8+3rEuz+p8FkH/9yb+t98EfZMf4PuDH1cdDvsXfgZTQ
/oM1++ox/xUW+PuC75p/+NfAFPYDJG64135b8NFNwkyzqF5xFkbm6L8BUnDd/Bn0dnwU3WwrdLC7
fMorUfUbcZPOri5romERIwTDqQlrDyLPltcorspdl25PS2cxONZFWUY8V2kZm9lEPKxp6X0hOiPf
EEsbbLs+6h6x2Rrgx2X0LQv7ciciI42dbIiaUzN57XZAuF1AdgnvgIQn6LZDPiQLNXCu9qlk8UqP
2m+afMZoLtaerKY9tdHHOqSwPe7mtItTeu+erVqBEoweU1jk56+R1t8sVYK+u4man5d+ZGbV5bzN
RsNcE5I9PBAbZR3pd6ZId0LhB7BglONqMZL24s1tduZHLLnuzGDcycZ4yBKZqzWtvXpPTgi1Bnqm
ilo55gvnqPGUO+b8lFCtsuVcJu7p4EDvEC3Xb85YpjZ2RQduRojPFmkBvJYg6eaR6EeAAGeiwkfx
Pwdma50iK3tuClpJ07Afb0LKDUL6UVZGazbrdCRqNFaZ2z8WlP7dU4/nPGDQI6ez8TvX2rLo8o3L
0FjW0YAbNAxGd2PL0cJpT6wfn7lYO6p3V24TVZBKoBrJ5LwQHyL3NAqfA3e2d9Yg7hizxh6BhumW
a3KToe2osyGzOV3cc491FEi99ntQqKWP2WL2uN447qo5R99Bc8jGGG0wmXx2Kqr2ao/74Q1nuqH2
fW6+sbrR58h3IV68/5bUs3mMdPdM0Yu7imazfic0ez5ajMCgdiHhueRmEj/nrcs8TS/KrZ16PQbM
SmFeIUGpmTy4ypUIqAVp/Lt0UP49sabJ2hDB+EblsP0AkpdvvNSfzvMiv/BJpAyb8+JviPFO7+lk
UMcpKuMuR1qKYmGiMqqAsbD8ZA3OlzxAGr6mqmErRIJ+EH6XpCcwtXJ8mKK0aT/A2NQ7HdDDz4wY
2ge/wu8CTI4JwL92SHokx3pKtf6qHwl+AQyrupvBNt/15A63Bhqhja3NL7eu3uGyGuA7r24PpIIM
cck4foffxLomv83hW5iK4WkxhobM9aQkiTgp4WuqYcB35A5evk38pi5XZa31u0iXxlwTe5/RCW20
1xoonCDxwl3eeBR3bTJgFvNhbBagHVOYZ9lGAUORNScPo7TvtWe9LSp6MzssFaSMbbrArOQ+olcX
iX1ABvgObYTNccb2X9Dn46ySX6Y9JHNMJSWZ1vCce68cIblECZ5ZR+FV+eXb6ARYO/gNaRw4Stwq
5koOwPowEUqueJhdMa2GVGn7RkVqSXdhguyIMU6+VRl1AZeup2yhM9WWxDdC7hEpxl1byBvSr9lD
R3/i8BLtZtcRh6JYxvbBXjgV7YfEqqhtGeb8VDhmTlmlknUZT2bj3Shm503gNIKk8sTaELmukTgZ
xtqSVOK6XTV7uFlPNW0p10gdsSvCMo0T3za2XjKPcWTOelu7OcGyU1m8Tp4zryukyKcwC7ZuTcWR
TK7xKKHCFlt0ufcgmqrYSL8YwdtEtQrHwmUerNpjXjgL/rtB7kaI+dVI9dWNHj3NFaAc56ktTe/g
9WF3M5m98U2nazGUKCCKdF2VmBrhvJpwMxlOtc3liU6TVzR9/rrplH2YlmTBBazkqfTM5sb65Sek
apugdGIObHPtAVYFh8IfQ1aqrn0gItF5ghYVq6skfS08GKnVLJd5lxhJA0hVFsXbkkcUe+FMOxFs
kiMGH9/LgpYMMQ4CdWgQddtrXhbTwnhbLun8Ex0ihzx6k7ag3nRMBJlEy5WoH27it2s/EFERC7+2
rtD9cEiquVxxyOnOCLnfrwT2Fthj3NdLq3lLkwZSqZdaA55VWf/DrtltNoEbUG1XJdF2TK3HFMPW
3jEq85SZV5lpHea7MqBVVSzdXskQNJMNdlMHKCet2gDGo/GUurfAWiWc3Q90khBOHITmye+1GTOi
hVvF/H8eKBE7TXWQbSa7vCT+gjAEtfpOy0iFJBRm10ZtKv1moMa4kqy9CGBJIHfs9tBCIKNbSIt2
bU7OfWc1K6OZbFz/vKI3gn6L28ycwlVRQpoi7IzAJDPrOPdtstVDe5oI8gaSnNSn13QTqhWpNzkO
vHPvoLlfBlccuiX6DhdRHVKv+2yjdNgMhf5eVWCvpjVbm2Fgu7E6cQg7le4HXTpw9+EtUXqXXtXO
rVOBsIdUezygWa22naFu0zm/DKYyHrTI7xE9hkcUozZvY3mbBtVCK1/BcDJRhmvG/qh8cHTVIbyN
MCt4I1hd507zs1uA9+Gc0+6lJfrePy6caIebWZlps7HZObvYziaAu950ZnwKLiyCuSEeejE3Ionk
8ogNIzJetbKneZ0FQUjbjoeQx6RyFqnDVFCZ7W6C3qKqTXrZoxd0fr5exoWjjCpK93YEcuaxIscy
tml8J9Dd6qqvubEmIK8B2sVuiIRcS1JVXhx6/V6qxpyOAQ1KpwHiZ9fikgUOJ+Ecp/JcjEfTLzRL
f0kH2DSKfj9X5rKxKlbMsDD8jzlHMQu5RCGEGQ1O7NlBdQmXAeWNWSmmCW+DUEcjgGWGbG1K61Sv
vXs1h+1Why1KyK4H2atqlteCzpcuZoKbtsJM02/unEgUHFUfU0QP+RtVyBOybnFH6ou8ISb7Ew0L
uxu6kMaVzqmTTOKb3u4k9I09DxFujHw0t55ib4tD2vLouwsGzFYUkxzpS6zTNSki43AwxTycSlEY
B4NyBA5+tDYXMQKK6M6CWempIVjabFt4LaLsMFq6NWwFDZdpa74BdTNfTbmZPxD7317yKCc9g5me
MFmE+DuVJdO2C02fAEIxjbQQQVqhae4CFQfd3L+UqELWiYqsc5WHV9U6N/8VnSrsgPJ2Tp8wl2ZL
PwAS1NeU0CKjHoOOmj28EpOxASG4IS+1unVngjquJ6AWWy1uggPNEuZLkgBFpBKv9yodHCzecnaZ
qlVBCUyGIOGVxXuhslHB/0XWdzeg9mwO8Bczxw9JywxuEs+M7AJRcj/kM0CGZ696ZEgSx4pAx9uq
EJlzIYYNuscb6VE7E+mqP+sh8A4+rMmMizT0HlSJm2WjvLrcuUgIN9CBzjEcFL2dZe3On1MSAvBy
5n62Zz84Ja6owVTmMaAgmaPZOkmtNLpBie2s7Dl47StHvcwJkLmfeu62NJZ0ZU+eSUXFvHQr5Fb+
myPdUa9UCLNHuCrrAHzNDc1F8xcVjukK7Nf6YD3Njpk2LBhS138dR7TgMD9VAELaZnAGvQldkPYw
NTP1NJfBapyN5+s6buag2NBvE+2iqRo23jSOpyUY9e2s0OirgJ76vNbTKodXiZtCio+51bAKdtO4
WysjRDmWlkSLjMhmVTUU1tNu0iJ3gq6xMUt/2rU9naXKltsQMPRRaivwVqznOUp7Sz1FtVm+ppZZ
pmtw8wjFepocUcCZR1MmLUm0Xnsy29R/cJZer7Qpm4O9mPyBxTMQu7hyM9eBxdnf9Deel9C2EfSi
YGmu6q32pbfLS6M+TCZncRmV+qnpSoeitA7Hb5vTDN4JpEHVeJsHgX1ikRjR8ghelmC0ObCw8jlF
l62E0cpNUeU+dgoLZK0Y5za+xrtwYnDzk8w4o5SVSbR01Jc/ROF74F2loNuWrLyfI4WLn34F+baS
ZTTdjLY9OcAMbvMX9e7/5v//MP8jcb2mr/7r+X8Pzptlv+O8f/2Rvw7+ludiVQSsDcgiJYPGZ4T/
m4LCN/+w3auB+dfgDZ779x5r2/7DJkeGdCOCxmjMCoGH/+pSsnBFmhGqNJs0NvRp0X+loPCuAqTf
BBS0BYYkBvOxfBOPpfsLF/ht7kfFUS65l9qPSkk5oNWvkCyMFscdSmer6CzdtHsQVLn8kEFhPwm2
gYsdtfOudo1Zrsos9FYQyH7NtlDqtYGwoo8MeX3d6Yz5VSfnU2OdQo432X3e4RuODek5h0ZMxXZw
bXsjrTw6Q7hO9/TT6HWGLJga3BmyNqdjMUrZCoRlDF/1YizEFbnavTOmTNxNdZmRdcqe+RGlcv4I
HEG3dCq4bCuRjpREdkVHCWhptkeP3Lnvgy3yjz7V871BbiGZuvn8NsOKrLBVFgGZn0v/NXapFdtU
2R9SgsQfUB8/WL1BsBLiBPuZutalWP/2vPx/ZP+/NCp/ugU+WmnuqnltjAivesTfbkFFHlRuJMp/
XDqHTlMHYYG0J8xDUQO9Tr5b22OjtKvovgmkfa41pVUxI0rjrbLCHHeLoIeZgN/mEC3DiDOBXjt7
cJtPKyuMl7r11EXM5OB7WY601euxvPyKJyjLJNylgvSEQTnNHe10z32Jvt2T+hyk2n6yhb3jYP4J
ZdV+//dfmrb1Pz13mDWuDzA5DlfZ65993hI5SwpXUD+6TZW8Wde7T76d9Yq2eLo3AnzcQ05vZ4UG
GM1ATTlqZfTLVjk5gakDFiJZWFyGyNPT3RX+POrGgemd+bfWse0vQnMsdOW2viOa2jo7aUuWVph8
S93J3kVZVmKL0bRrFqW5z/D47oTRGbtidPz1jHRqs5gVz7TTm+PJXJzP2h/OurOtfY+Qdj9zdu4B
mlBdTnOxmZBebkwZia2XvZWSbFTXbfSPTNB5WPaO/iFpCz0Ec9ntu57K4ERAl8hx2PaQ4RdeyuI2
GA1eJvKr94XzaQIHk8+UdL5aF/nioVBEUpFhPUGB+cuiFZApYS6djYgJi1tQ19NlqrlLcV9n+Q1e
ufY8w36+zPA2X2HZ0t9Y606hOvHgdKYlsLa1UGofTTI7lX1v3iToMu7D2hpvvKLly9nUGJIgLpZ8
P3cij1aLm9oXI+unO8UJ++zYWbrNFvImtHd9N41ieahGTaqJUBTupUV6dl0aU00i2v5D7sqf1izP
JDEzgsgh2IlIStv+RV799sLYCDyTdAyMCyz08vCr9dMA+/uGBTJcd8EAVBFdn52OyjVtk+aresUx
y9Wz+Mxlg0ULXvXY9mb7ErSuXJeiNHct3MkUucWafbV6rlp+SzF25DjnI5RGyb0/N5wW8WGnC8c0
sgJnrBaXCbOhGwczX3UeDIovBQWvLFfzdnQ9rFByQWTfebK3Nl5v2FTSDy2/cxppDqWy++HXYyvR
hMG70NPbtZ51tiTwflOG5mtIx/JLlFvqpTaW9jZTGSxWJSncY3qos++1Wexa7F7VapiiAXH7MPg7
l8Ex2BShCO9Cogznzb9/dX/lq/xjvbpefpjHkCQ1H6wa7d/11f7t8usWsWm6dMmFWQI2r7cCK567
1njMl4hvYOU2Rq5WGU/5nFGr6xGnJG/w4gmy+syM7cXhHRxiu6R2ISxG+YFIncT2qNUS7oKC07fO
nfkyJvXihzYjl+y//wLYz/lYgPtYc70r+fnbF6iXQnWWSINLCZq5mXJMe61M023rJ2UHzsk6k3AU
vfcoYyBR71pt7Ie1/GDw8U6W9pOfvHsknWBn+3AIODv7GveAsFHEb9syTJ7KoK1wRtYpXvN//9n/
jNNfL74LkIEyHWcayuE/fXZdddchT3uXBqFGHWulkp88zUm471RXfqPPdLnJJzXdlcG1n7UK+QZ2
XfuHUGbjEecTKqLI7ggG1N3hV19y71cc0bULDdUhMr9j6MvOgc3319U1jhr9kfoJASe5RZn7XSWa
kXBZ6BEvWiprB2R5lDKPQbeSuccYbkO59sOQvNjColgqNMKjylp7k0B6b0vlENpbiumt8+tl1+kx
OWSzIMWf4toQYbY9fVm/+mbtyoVdU9K2Nosjo63TFN+tCuhGODWcbiHloXSJT6wDXnXOBNP9r1cv
gWz47BJDjBu/4D8OdZEcl6mzL6Wt5gGAzhlxd7bi05Rq2eamSN548sYvtyRdcebTH8o8SI5DVi83
rrlw+ajFsy/k+aGLt6viyZTXhEu39TOK5vIfTlM1hzYV06HQVMl2nT2uDLe0z2LSak3U9HQLk85e
8u8fBA6J/7SD8hqiAuDMYIWs2dfj4J+ODazV1aCKsb2I0qKwDhgd5O3X2lwyRu3mhGLagK7zDMRL
pFuOYvLDJ+nmYSHbuKAxUx0YPgJYTOqiWkwKGl7HzIrVaOQk2KRpve1bpj3CbwJqfLVZPrP8999t
7Y5fQxa4xhrLXRWslQjpQ6g5jt2Mde9tqHMk4HwCtS+hnXFvb0sraUzIEVScYWpMayD54DC51TOC
M8vhUxKeuzLsbHdt2n4gdWjWa4Ut/bP12FZ4vsS6a4iEpTNS7VzeWkag7HrkvN5XZDD9i5qKPSz8
OOMUzZZN5MwvlpQwtk3oxHwe7NUq54WA4edhzW3lrignC34QRV+tO6baI4Fd5n6JSiRigCbtbmlt
0WAjT9xoJYdCfGMfyL4pA7gtRnqDRK3JqvxFEbNG323R+umezhFzWlUOq0GshBSfBr6vizHq6wGn
m5qjGSIkMLD7rrvlqmZzBHHg/SQqk69bsOSVjeJCKd3x79TSs23Pwl4STBTKhYVbLDongKIPdFWz
6yxW7nynwg0Za2r5sjgZVIBz/Inmh5QEPULlgWC+E1HIutq3iPFnVnZzZdQoCFJPF8eZByG81qk0
J8Mlo2AFNOa80lRKjcYMIvaQ15DmDMP5dOk4W+57A41EjH5y+Wn7RXgIh8XYEA5DR2noJwgnzW7R
G5pIwNwhuICQuySIob15CrOWU2Y8pd26jzCGYO9LULg5S/kTjewFwQP2QI9jK8rhIqhXpS6q2yCo
oNYwxazYDCKuDI1mD79epP9Ntv9psmUTYfP415Pt4fNDNP802P7lJ/422FoWEiaYbOZXIBDG2H8M
tlbA+EqczpWX/qfwjV/GAMYcGwLawzzwmzHAIuyHRHnG2ut6xsD83/DZCID+tDpef4PJx2LAZen8
f4KrCytpBy9I/FtqL2lLwvfUnupghgczQmv2UMJOLOZOfZwILiofl0x60XdaIb8E4Q2P4HyOtwLK
eiKyZ3pBdJqdYElQrpZ2SMacrH30hXQHEdRnOMvcX9A6p6hcUq3bZ7NuEyOux6x0qlMRZWo3jmWe
3wa2iNqYurVwmylRH6pkZvHLh3ZVzVa6rslJWyPK8rYiY/vfQLE8FIhjwMlMnZxLR5IIhLByN/tj
i1+g05+LhWyq6sNPF1H0W6mbYGfKTL53VXGNqajoWXLUh9MRmRdP2I2R/tidOC2zmPYAXu6WG2Xc
1oyfE0r1EWg55Py16tA6jR36w4EaQRBiTDpg8zq/M4SwX8Z5OrsDbbRWBpGtCK2/zKpuLvTDQtP2
5kvpZdHz5E0zIzpiIWlHL9MU4tA0KdF0xuqBebfdu0Nn33ZVxaQXOtdO1iw7V2OjDx5S55vIKD+i
vgXJlpTaovQuTm1FLEfZGCNGuiA5zInnbCkjKL+qEinoQqbk1/Xg2rL0dNQg2dnXMNgAqTqbXj2L
6EmkOUDArQzTVVuV4bttg7h6pDRwbZoXEgpeWoM/XbdyiU2hYZJ7w9tw0G42Lr4E9OZBVceBrhEp
l9XoWagaouoxWCbXjxNTyMP1iXxurxRIaCXoDBLCXPaBPRDhKYKg59OPwRqyaURvzKg5r2U5oanz
kd5e3MIq7udZLXeJFuYKtXx7Fo5tEDZtTh5/Bdl1RDrhzs1LjsuV4WSP2lfl2avkfBaz79zgyCWo
QiT6Xndtt62Vmn7018DTmGmKCJHCkD8jyigG1nwS1aog1+duSbL95NXq3CO4YoH2dfopbEyipZS4
o62eZKZ5kMHJYsKlQb4PzFsNhR/7XbTAoNe2WZOtRAV1GqrhG8KlAd+aM9vbwilamtrNIFvbqaC4
WdjeqjAqAwl9ZUensaqmHB4Pr+VqZIwBGJ/OWcuHClqfyO1lVs9pF9RVPBa2+NkMCITDsIz2Ad1E
pJAYn/4C5YR8DRUCiLUfO52hbUhHxmVHOnIb5Gb0ko1YBCmJPsmkzu6rMBRb4nbM76NvlVvoNf9H
0SYLh8RqZMMa8ZuzYXlxZ/X6lcRXB7QoCdaIdJLt0Dc06taFnk8NARj9KgyT5hhCA0lYNENs5sHG
Ou6Rj7GgAIZBncg7nhz7oOyiu0DjkilY6uGbJyiYR2knIM4TNsMgSrOTIZ059qoohBqO+Ep+A53O
nBQhD8BGEi/dOG+sZUS/3ifzJtPh8jxOLc4ZZjJ4VcrTRTRzS3o3uRFh3d37cKtWEnZPIEH+JXKG
fVc7y50eTL1qpuDo4ZuHJYJUOWRJpfeh9pv7vEKdYGkL9UAow/mxICX2plIjgJDd5u+ZabXgfKgl
Bk12bjhnIjnUZhQgKWzRByJmQOBi3lSBsTHrRj+kbtud51zmKxZP81YN3O7Gq8WqrjKHRaGN1mTw
mIeltT4t7fm3ktSSg22N9qFSyFsyi9Jxqq3pN+cm7zoMG+skk9QDSWxGs+30j0sk5q/KlBI5TzAT
gVm5D8HcVkCAtG4zK9vkumResQtwfq/hnK7u76U/ZWKYnikmd7etpHfbR7B3Y070blMIoA9RKvSa
LKDwzWlMwoCl5pQ6UR3Xuf1srHPl+W9sgsueEDvjy8pbkoy0cAi9dIefJMA0tyQFNRdUINYKpxjF
kK35kS5VummhKtEWjuMuHBXmBwgJ8cZY0Z+7qrxcS7mOIvLrldN18mRfVbIL/dFbPYXLvWll0Z0S
HWVPgFHLxk0p1qxcfCUIi8K1KnAdDYFwv4g8Hzc6mH4MV3luwZpZxkmhxarzPeMsDLeNG/ioFzlF
uGwtuVz8UEfr3mn8tyEUvBuOT+W4h3UEJHEiXXQwWLDwZGgvc9+LcoQoDtrs1qK6b7eYjfWhq9TF
m7I8J5ivVrae7b2HSRi2zEi8xyyzprU0l/DAYHlZTOvA6YG5oEOOtoFI4wbXFIevg2x80IR2vCDV
rUjaQCAy+7W4J/ESCZbRpvobdo/2GDltcExJjw9ZQbFBsG4S89SbZxUYzmVZhvshzUgGIhz/NHDB
Vh7PHqiEXR3JKIp5JRhbIqs++wvCN2IeLsUc8ajprsHW5VzLV+s03GeTP2wRZ5Ub5QzVygyTc15Q
CtP4CqWCmYe4KsxsrSUlJ7xQAgsK8xA+CdKcprLdTGFScd7uWL51oj9EZsodaUz+aUGn/4MEr/I7
3hfj1lPdg3KwXiyh+2zOrrqlurA9a408o+uNhTTSgO5ILxifVSWGo+dXHzkk+kHkAeBFgTR2vAaN
DsvVUjIZqTpmNsUwbpa6F5XWzf3CPLUO2blGqKkHK5X2G44JfY7YlQGPrGR8IfzI2JfL6J0rmeVH
O/O2jYOVEaPnHdKmb5OBLMwMqxIpEeXRQTqWT1GYyt3Qh+2dDHtiLJR0tmabfOEsZwmkbn4XKsqs
tFDlXjXlchauq0/SK9LXkfLPOFDk3cilbNcu9NZPry2fREUbpF3kwWNBjse2t4p+xeebYz93blD7
1BsprPdEuQYVka64A9Y7lxr8jRDU85xY7nPZFvWxzR13g6583BH7Gm2zqUjeu2Gedu6Ude+Tgbg7
jQZo65Es/EDjl8HH8a6RQ6HuqaxtCoVcAL4y44gPY/CIhUGWHgdhvhyjCG9nkZanqT8FCJjsGCh7
vHXLJl2J0GxWEBHlc048wyOHquJUtyFbvWcxEGUarcxdA01JZm4qb0tidCvfkbsQOPEGo3u9rifP
2IncrQiBslNaV2uWHTsf9mmSZx4rfu7ft56cDsItre0UUraBFs9baVe/K7Ie4RlBHXdaW8ud1AHR
/V5nHZulq7deqKcPzGlhSfDSwiGlUL5H2zda96tq0F17zTL9qImVevfRgxMhoz6qNErWfJCf1VC1
27yqr/0/tdEdkG+EqyovkEjRFusjrYbMxL1F7puc7GLlFK6/0WMFGGG46WfSdzZ1qItmS/PJ0MI4
P12KIr/j3Lvqs2uLhe0vW5Nwos2iE+u4sA7QosFpU0Al7BPHMH9iR0aZRQtdPBB8tm78Pt1YGcMy
R49uo8riwQuWAtEH3Pwpob1o1dZ2fjC51e+NheqFqR7lVz1g8Uqxz6H5H9QqFYbCu14OWDKDJHht
hdlFWwuaHoGB+RBINqRYz2l+a+ne+jHJoMQFQAqlOdrlykkKe5vUC8arx3BKhhyT7hiK5gcGCLxM
iDhIfXgKJlEU7jHxwqw49VMYNU96HrlqTf85GQYIW81JmYAN31oQ9JRWQMY0nT9rL8qKYD2LtF4b
fZJjZ07n6Uv6gAyaxrmYM4L3ys8070aqExQlozwkMxq62BrDaW2qMDsOY9jetJL/N97R5s3hzXOK
udvyF42bIoqwm6Zo+7LAkw35YVMNjmZaN002hQffthbeYDjK22DwnxYhZNx2nv/plpLsniVY5Cnx
Ir3xlqi7dISRoT3Bj0FORPVgagwGvgMBj8ZeD3u37MngBPRZc+qz1w3+itjW6oo5Ee1CwRAqntKz
T2at8GOYMGEZpYGbENhw7fkzEUOBwd8zC9k8T9noviir8MC+MpzeMfpkO25NQhRNrhypERCUWdnP
b9pL7tI85LKaUOWPk47S9Zin6EX6gXyNWabEZvRKranbRYagMOiQL5JKUHR2YQrcpnY45ArwLEZD
WB2nKs+f0rDs33qOnsxMaryd6yV9rJA/oeHlYuMIyXeEmjJ9eXb1f9k70962rS+Nf5Wgr4cC92WA
/oGxJMtyHDtxs7VvCMV2uS/iJpKffn4UaUdiHLcpA1QYDNsAbWRfklf3nnuW53mOe40UHB14krgm
OVmm4rrx8+1vth2JxcKDNrwqW0tbk5yObwvHAue8lbYfMzejKpaa289x4ny0Sa5dqTI5L1pLisKF
IndV29gS07MSgT/DitLfKrfOYRLaaWy8KWtXfRe7243RZvThRa4eZJXgiu3c3Ikc+17rqHBSwE3f
BGETfvLF1P9g+jt7RQ0GcbemlGREsaviQ5CVu/tKIF2XQnZ+nUdOuuCJ4nMa2rIJye/TzUgvNCAw
W4iGgEe28sJ2td0XgJgiHr+ADneW1M3brWHCjYmt0LvNQDWcidBftmeVX8rL3ARoItP6cL0DObJ2
29a/0tzKW0d0vL0ONSIHwFcsJlH4EiIt+MGF5YEsvqTzckqD0RDBDn8KMBUyK38nzlvfaG+EJmkX
YZnaq0Kuwtu485OUlnVFKr04k7aic2nLgQdxQhaowyDbGfu2ROtgyUmIPztHVtKyKwCeQC1jxA6x
YM7SAq8CmzH3/Gj7OUFKJbqRAj9XlmGjE4xtJU4BSO2kR+d05cxFBFZUvb0XmljcvZVoMnShAwhl
QPoxfCriOq3ftzvB53wVCgLe4i2YO8oXIPYM2aBrmpLR7JspyUzzPHEQ9kWsTUqAYv1XpFa5qxZC
fd06NTBNg15PYVR/PEj/PFOo3msQHxZ+TJGss0bDDrwysjsdMOKwbpJu650fKtLuGr0ubSFYaIFI
ED6NOloLpgkC6Q80GFeVL18qgXYuqNm55kpL00CuuKRmlhRLXnVltf4i2Hqrlx9uxF8Q989GPUdC
B1inL/pIeCqSqm0s2kiCp2l2baT4ivaF91cdH567iaQibmVC3hON8QRAwakJeoEweehLdH90ITwH
cdQXqP4/JfkXKUlFE2XgMd9PSX58yGiwXBwmJYffeaTZSDPV6KT+YM3Qggkh36ekpKHMyFUa8GVU
SWe7dkAcUCyF++svKmRMWDk0vTEQBlYVg+99QNuoMrwdCyCwSqUTST3yjD/Aq+wW4cEGAs6joWNF
i0LSpuB6xNEiNaWqbBHnRm3VpMROqyCOeoej8mBOntmnx5AeoBSoiPOOaJ+glsVMdJ8flDftstrK
SuLYF6VPs6czsKfQ6Go7+SMuqvotXemVddhug2yRtEX6+8v37r6vw1fc3xzBGOTMmDaDyT6+Od2H
w1oJ0AVxVCsJzo0s3y2qWuK+mhjc+pKcbBwOKYsyq6csSPF4DzUtgOKlnunKIqRtBckm31sVFeKQ
ylbYXpZB4t7kpo/kK5tam6MMCrnBcdo3ZW7Yt5EO7OgfvIRB8lrqdJtYSKMZFDOwl1HRWhcUOOUl
/eXb80gguvOMXfNhq4jV3JYCQ1kKEf6xJNbp7zsLHIaWOA3P51n1Wx1s4tskN80zsWqpa1lue16Z
Qbiu0XjCOdhJ7yOvROQpbhFWFaL4B+3h/nugoEp5cC+dvy/iHyyCXFXKsjF2FsjOdAepiUxdXWXN
qoNHvjxbndU/WNT9nUwR1VJIARqNWY6/ca0iPZNK3KlCkQV1T0x7oZvby6xQtu9EjVTcy/cbbaL9
/TC+pto11QX80a3AgzeTpTyOI7StLirHy95hUXKA7471F23VRqa+uwvkZzTgaAxpQtgbEaCtDHNB
QElZXd55K5NZSxULdE5uvn/5deRntiu91zsiX2cXvjEKviPJFkGPeYHWZLhuDcT4XYs105BvWuDs
ZiGsYh2OTFIEt02lmVd0sQoWqg9i3y0RJo00bfsuazqsgl7hZKWSJ1Zg+ADPOWFqXyIG0aw81uaH
yjFiJG9akbDZ8Xeg6VSHm6A7Iy9pY+xd5LKef9rprXfx8kv29ZajVQLOC6VFmjXQKolKzwg0Ysuw
lmBe1HQwVaSzyCG9Zjh2DqQ8o51hkMtUXZM/6zATYH+BwmDx+hdh1ClYSGlxHqQZuhmBh99bxEiM
6bH4ScJlu9asRoVCFUWftK2+zKSd/JuEFjJJ0F0okemy0d0QA+vcbT0ysbjGuIyxvIhh6a4C51zy
K+cPzBlhR6FpMMlk9OVoB/qa08W9iFJbXiqO7l1Q92xIWnrR0pXJnFPJNN9ntuavfcGP0OrduuSZ
HPvO5eCZR3mAAGXaVjdpKJG3rVpDvYrMbbiq7K47TiVTfVbTcq6XehLOCQ+SiyBLgo8QMJDKg58U
R41wo1lpc99QEUDIwi2W6DEpK81W/ZzQCoJeG6T6QjBa9Z2GOsn7tMyjT+gwwTOX3ATil2g1DYKA
bkxBNREVwg63/myYcbAwIjm70CwrXPuNX1+RqdZvcKDBcptebJ0pkbe7KYt4+wXtCG0jbvOlUFv+
3LWDByEQzDdCHAoL1fGcpWBklxFAuTmCWttlIFudjHV8ndipTe4rRr3SyRCjppE7dSmflJJNuBfS
LVgh24bQMFwAKVJ+11x9d4bktLh2gggaO7TKD0IYFPjwMCqupVIgdQkJHJQd58vcj3bKCr1uc122
qrLJbD1/C2o9j9eFCGxra+TK+0AF4ZayIioig3KrKJsErb/zwJUFBBdrqneJHGcfYuSr5klQ7/hq
qEXkdeJc7Jry3HWVd7INbB3bVq2LMKFDhFATtmaufE89DdCALqXvmix844G3RBu+ChaVE5aL0gbY
7kZFOc9E8TKVqTiJjqqe+Vbt/AbD9g3B4h8u7O4LF9zdrS21zZJ4H6hesJHJei3A6flzwdetjwUM
OzggmXRl1OXuMtYC6yypWiAGIlFs2eWbi0okCWcJpNiScjeXotiHhZnUrwXTsVZBXsfzRjDt34XU
bXiY2j5HaUSdu4GSQKATKVWdcRhRk2oLVIQcU0dkcud5ZAJ0eZXRf+O11iYJDFAUsLJaazbQN8R3
pZcbZD0bzZTJo/uoIdCRBzOVS9vXTSOpazeuwwtJ8cQLA4r/SicAEwMQXjI6S0sZuj3lMJeCRuHa
1If8+C6rVOczMVd5rxt581mpst0llZpqHVREiBXyUVeZKKSrbRHYc1ohVOuSQgiBXUDgSyNBRzkT
fSOX1rFnGS1Fj60eLSPRiciDtvUHtRLjc0WU3TWcuXRJjg7iXYOAKSURtARoRnrl1TCcYxFCDfJo
8ZUfl2j/eHpNmjlFU0JPymYl6GaOcgutU22/akDfZ7vkWmyccEETV6jEFVWxLJFp3dB1A/McTg6p
pYsRlLZ0KVagRHnj7NLQC3m5y6Dmyq7YvG4LMf/UgsC6kdmo140n0ukFoiwC1dRoKwoLyAlZIUIX
ZPiyO9eonXM98YyPrlfEV7FmSO8FEf8CnId7EwSgWu0Kl48KBgGKY/k8HQmN7VkpiTgzcJZuyTdu
P/u+EiwCsQVxLeAXClrarMJAUtY7dQsPhmTZx6TIQxB4Wn7fkjNAZkjF9mS8JHC59o0eJkCraAhw
QSPH9FpxW/vSyNFmaMhYw3mhHy5a21RvrazizVG6u+kE3SAcKvJyW7TyElywc9MaqQ23XAWUOpet
MP/koHEC81PhSYLSEimeF7wSyHJ0uRQakM6LwKcsa7najYRhmLdx7q3SQm4vRF8P55ZR2pf4KhpV
Fd1C9y/MLiuIfCjKuc2f+MDVR6/KsOuJDPGSLCKtYEAyrCQx2q7sWNBeF1ki3DbcwF0I5IPPWtvY
8tiNq/2xQ7Cn44C6xS2sQv4L8dTbTJS34E5d6bNoamgJITBlkNla5T7aKJRCReW1VourYotRkLJS
oSHvVj1P3W29jgK5axjou2TZbXeZxOV7yRbk+a6g26YW7GCIeeLbzI4tEtGA2ldZWjXuiuk3gjvY
tlv3KsujbcVq1oqzoo4hQsHFEUlioU9GYj/SUiwrlJuz2JRV97reyXXUrvfH+/+ZgHV4ka7NzDIu
vKJ5Vz5kze1DXoZF/hjPdZ++pZVn8T75Zz/08kBDb6y/CIFl9OlxaI9C4P1D7Z/4pTHCDS9W3tOa
Cy0gxByABKp4ld3FgCGalMPH5GUIkg22oNyLKlv4vtzwYJK+Nw0vv2E/ny//zEtv8LV5GIXFTpV5
2ixoMw14uKEpYqccTdh9PAuGNQNKg6gG3Rz3F3HNic2ChKzqxFlQjRk4ebIOtL3dX0C+DteCJFoz
FOGJcRXirNN6fwlQytS9IJsz0GRaB1HrL5bV4fsjvqLSx1JFM+tpfv6VWbhDPrbobJLjJfFhggst
/b+3BkYjHNgDa0Z5ROuUcp/e8XAOLFB5EsJiSGr2O+XkVoJGMPL3JmFzT2/Ix96EfNVfjSKQRNLr
JESAH3bXaCFA9p/pMO7IAA5W8dS2g0xCagzY/OGjAaMIgYAyej8J41mwDJZKtxXgnffXqc2CApyz
P6/u6v92HpKnU/tHDkiyxMgpqSYWZn+N1gIbQgESRKKWBpPdRcrmXzEKo9X89YDsMK1kpHioCbOg
QCRlz8uPszA6Gkyxa6EH4JOtsb9O7oCUrOlLQZ11KUR6kg62b+Ql8PIzsM0Ak0lqd1fvlpyUryTp
/UP986VAlcNSqJmx6PcvCfj66JREkpLSWicJOczSCS4FtConbgjKQLSQ4MtWOG66a7QWdGtGr0nS
wsapnpNQzLuCyzSzwBEASpqO7sMRgPE79BYMcwaoXqQyMnzen0kntCNoo2tOnQVVRXmPNLWiD9ED
/sfhLJjWzOCEwDH5l/3G7x4RyCvJU90F9AdNlMX5uodrdFAaBoK0NJMzjGGWTu6glDkop8YQqo5d
QIuXnHQ/DaNZsNROipEszlC8PqGtIItEN1MNAoITmox8xWgL0NTboMrOwTGYw5MzBNBjpx+NeEkk
Ccyux3B/HRsCSRZnT9CAE/MSaZc19Uwkl4S8qGGCKDh+b7a+CH8apIXZT8vJBY0K+fzJkYI2o85s
WWij9Ft/lEozO9OgyF3g+GQaTitSeEap/IeDxo61B5YAZt6zWwDvECqfripohe+vk8sngur5RsX3
R2eBsxDtkS5PMpi7kTnEI+A2FDXAQPTX3u6e0GGAqeoQR9O8Q8SK6YYLqfn50NkEZaV24CYQQPvr
5A4FMhu9lzIhXJJmmoGWE4nVp11/6BwagMYAjZhdF/kTOxII9q0+eJvw+ihaIUFhcSr0C30UIZg0
MCDpTnhwqokDpLO64G7STlCVGSRmNLsfFwEr/WgRdIsEo7mXdeqWSe+GnpI9sMh6T5wFRZwhWdXR
WofvemQVLYkIAugQEO9+rZycmwBQsuvwOWktKMTMtKAzde1rwvBwLbAjEMyh5oZDtr9Ozy6gSz95
R3BCgjjtULf9W46cJYOYGmYOGO3hgDy5tUCKfbLHjJ+ggo2n4vY1Jj5aCxwOSLdQc/pajTktlxEX
phNzmLQjqDuqe7gfunb7a5RL68OmbusNRer+hidkHWU269TMgaLOSK9TaacR5v4anRGSqM8k6i3E
Fyf3/uzhyYcDS518qoxU1fHZSNhEurbLNg/2klPjxPYAoptT/SSFMpKsdD7A4CaO7OG+tmBwNtIY
5NTen0T/5MQRVQVS5TqF5+exB5ZCsRHXQRKHz09uFugsO3kRkEChZ4lGj5beBIySh3BKZrBKuvL7
qa0BGbrLVBPAGiA3QjxIRLC/Rq9vUF6DVaYow2o7oQOAaN6cfABYsy4I6pgR/euPDgAMIWEiR+Rj
4e30HEO82t46TwgYCYUAVnSmsJ+FkSGk3k4M0RXbh1k6uVlAir4/oP/5JOALkB6DJwOpaH+NouYO
lafAOCKZ3E/S6U2CDmJwol/Y9SlErKvDVvRvObIHFthFEzQSeKUnv/G0PAMiBKX/aiasBTwDTUf2
+BGbOFoLkqTTEwxwojHknftpPyHjSDWkc+qmxQigDiwLP+s7OwKTQGkFvi1eQr8YTu6E7NzbqbPA
CQjzFAnP/h277ORhvMgJiTgZHTAAoeyv0/MTaDs6+aDseLYUGZ6S56M8Etl1EDiUM+XBjTo5X1F6
Rk/xh2sMKtYPYAV1hv67Hq0FSSKFAuQA/vnJnQ7PdUr80ffndCBchHJJWXl/jeNG+iHiRhAvDxmm
k9sLHTCPL22aXSRrAAC+68X47Czw7shrokBA6vLkLCLLYLJFJHcEPpOcCAic/XVsEbv3V+mkKT/y
F04ve/CMkMGP7gUQSChMyPwzihmoLiG8rqOsOkzPD5iCv+FBPPFh5nT1uN8zYbyH/DnCzPd+4BGU
+u3nA/tjff/rLx2s/egHO2JMf+8e5tr9/3+O0E17hsrBh4+Mlf19hl8fXvDbWx/d6/GtHv/ywnvI
NjDnmv0HzfCY15sINs3/hJsvm2hzCMnvU2Nfn+TXX46e82D7/8XAeTAat8MwTh4389okPh54D5Sd
PnCwifNN/viI3dfYB0ZTR55vQu/PJBt10O1R/5PHTsIk29wfKRn3eZ3pI8fxw13h3ZXF4ZT0Beap
g7/QQX7PYHuWR/Z07Ly07h7ZEa+SP1/NE8S5vxw3Lu5RQ1OfH7Zp5t0fr8KezzN15NVDQrfl45F7
ZMPUkb/fy2nilH9XSnvquGHoxYl3vCN7rMvUuVjH995mZEX6hNjkkZPd8ZfXp5qnDvv6W9vU5ysm
D8wA5V3QHO7xoWg8deirBKb8N9Pcl+Wnjv1m48UPR8+MiNFPOF7ebLIm3MT3h0MPMNPpj5znmzu3
zB+K4mhND5noyeN7d67nbI7pdT0gZvrQnAUomB2t7AF8PH3sPPf4N029o0nvw+6fMXpSZuOhO9T0
5KHR6hrZELnntE4d+frhS7YZeU9gTLpM9fShq83xuTVk/KYPvHt1sYnS3PWyo43J+B0a6WeMf/mQ
5Q9Hlooydgfs+BmDv3movbsjP2qokf+MwX9PsuDxMffxAZrP0uNf/HNn57pTeHs132QJJ+Xx5uw5
5pOffX+DxSYY7/0+EJ46/I3rHc94j1CZPGwQ0tzjOKoZ+KWTh84enDGDeQ/Dnzrw24c4pg9QtRmF
CQPRZerwt25y//BqnX9ztvU53qnD/5aU31mIA5fz59zg24U4ZKSmDv+e2X/I84cjyzVA7KePXR9H
lQPJd+q4H4qN+2hCOpsCu68DdUwd9gUVyon+/EePyGa0vAdO39SH/rTh3Imd4nhrDlCvyYM/5MWr
Zx+elD3p0Mnje/ldgorPkec20Pwmj90kSAY4jw+5Xyd9cevlkZ/LND2JqHybf3oUR3nu146Ta91P
3IUPm+w//wsAAP//</cx:binary>
              </cx:geoCache>
            </cx:geography>
          </cx:layoutPr>
        </cx:series>
      </cx:plotAreaRegion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900" b="1" i="0">
              <a:solidFill>
                <a:srgbClr val="595959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PK" b="1"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1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662940</xdr:colOff>
      <xdr:row>1</xdr:row>
      <xdr:rowOff>47440</xdr:rowOff>
    </xdr:from>
    <xdr:to>
      <xdr:col>10</xdr:col>
      <xdr:colOff>510540</xdr:colOff>
      <xdr:row>14</xdr:row>
      <xdr:rowOff>85540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8B75E-1588-8911-B731-05FAB0D4F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752703</xdr:colOff>
      <xdr:row>20</xdr:row>
      <xdr:rowOff>75665</xdr:rowOff>
    </xdr:from>
    <xdr:to>
      <xdr:col>11</xdr:col>
      <xdr:colOff>431278</xdr:colOff>
      <xdr:row>36</xdr:row>
      <xdr:rowOff>106144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352D19-FBF2-83DE-1E15-0C85FEBB4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638634</xdr:colOff>
      <xdr:row>188</xdr:row>
      <xdr:rowOff>70121</xdr:rowOff>
    </xdr:from>
    <xdr:to>
      <xdr:col>10</xdr:col>
      <xdr:colOff>571372</xdr:colOff>
      <xdr:row>202</xdr:row>
      <xdr:rowOff>157205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97B01C-6298-FCFC-9002-B34B14784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526798</xdr:colOff>
      <xdr:row>207</xdr:row>
      <xdr:rowOff>131913</xdr:rowOff>
    </xdr:from>
    <xdr:to>
      <xdr:col>11</xdr:col>
      <xdr:colOff>475129</xdr:colOff>
      <xdr:row>225</xdr:row>
      <xdr:rowOff>17930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C89DD81-1BCE-9098-0E42-FD642DD811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761271</xdr:colOff>
      <xdr:row>228</xdr:row>
      <xdr:rowOff>95143</xdr:rowOff>
    </xdr:from>
    <xdr:to>
      <xdr:col>9</xdr:col>
      <xdr:colOff>291101</xdr:colOff>
      <xdr:row>241</xdr:row>
      <xdr:rowOff>145551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214CE0D-FCB4-385B-2648-EF15750664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759144</xdr:colOff>
      <xdr:row>247</xdr:row>
      <xdr:rowOff>73353</xdr:rowOff>
    </xdr:from>
    <xdr:to>
      <xdr:col>10</xdr:col>
      <xdr:colOff>222608</xdr:colOff>
      <xdr:row>262</xdr:row>
      <xdr:rowOff>136988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ADFA2ED-4662-52BA-117C-ADDBEAF16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891575</xdr:colOff>
      <xdr:row>266</xdr:row>
      <xdr:rowOff>102742</xdr:rowOff>
    </xdr:from>
    <xdr:to>
      <xdr:col>10</xdr:col>
      <xdr:colOff>599324</xdr:colOff>
      <xdr:row>281</xdr:row>
      <xdr:rowOff>34246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87B424D4-7EA4-FD35-AF90-415D3059C3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549838</xdr:colOff>
      <xdr:row>40</xdr:row>
      <xdr:rowOff>66368</xdr:rowOff>
    </xdr:from>
    <xdr:to>
      <xdr:col>13</xdr:col>
      <xdr:colOff>1377461</xdr:colOff>
      <xdr:row>66</xdr:row>
      <xdr:rowOff>120713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EC396653-3058-6BEA-8079-E3C6BC0E5A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31338" y="7381568"/>
              <a:ext cx="7434163" cy="4809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PK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975360</xdr:colOff>
      <xdr:row>91</xdr:row>
      <xdr:rowOff>35560</xdr:rowOff>
    </xdr:from>
    <xdr:to>
      <xdr:col>14</xdr:col>
      <xdr:colOff>162560</xdr:colOff>
      <xdr:row>112</xdr:row>
      <xdr:rowOff>121920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A99416F-0669-409B-3AE0-63DA92E19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842291</xdr:colOff>
      <xdr:row>116</xdr:row>
      <xdr:rowOff>119898</xdr:rowOff>
    </xdr:from>
    <xdr:to>
      <xdr:col>11</xdr:col>
      <xdr:colOff>334291</xdr:colOff>
      <xdr:row>131</xdr:row>
      <xdr:rowOff>64827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1DF0FC6-C899-97FD-F72E-E4BE7644F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845035</xdr:colOff>
      <xdr:row>133</xdr:row>
      <xdr:rowOff>150263</xdr:rowOff>
    </xdr:from>
    <xdr:to>
      <xdr:col>10</xdr:col>
      <xdr:colOff>457199</xdr:colOff>
      <xdr:row>150</xdr:row>
      <xdr:rowOff>46892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18D3B0F-AA33-2F4D-4A54-B3556581FD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486577</xdr:colOff>
      <xdr:row>153</xdr:row>
      <xdr:rowOff>179942</xdr:rowOff>
    </xdr:from>
    <xdr:to>
      <xdr:col>13</xdr:col>
      <xdr:colOff>110167</xdr:colOff>
      <xdr:row>179</xdr:row>
      <xdr:rowOff>73445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3D7EBEE6-4EE5-5E85-D447-F0F5212B17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</xdr:col>
      <xdr:colOff>821931</xdr:colOff>
      <xdr:row>283</xdr:row>
      <xdr:rowOff>136988</xdr:rowOff>
    </xdr:from>
    <xdr:to>
      <xdr:col>10</xdr:col>
      <xdr:colOff>547955</xdr:colOff>
      <xdr:row>297</xdr:row>
      <xdr:rowOff>119864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541E51BB-5989-1530-7FD9-FC7C79A7E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</xdr:col>
      <xdr:colOff>809090</xdr:colOff>
      <xdr:row>300</xdr:row>
      <xdr:rowOff>8561</xdr:rowOff>
    </xdr:from>
    <xdr:to>
      <xdr:col>10</xdr:col>
      <xdr:colOff>428091</xdr:colOff>
      <xdr:row>314</xdr:row>
      <xdr:rowOff>14554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3AE516D-AA71-EDAF-DC6F-6A0007496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10</xdr:col>
      <xdr:colOff>584283</xdr:colOff>
      <xdr:row>23</xdr:row>
      <xdr:rowOff>106199</xdr:rowOff>
    </xdr:from>
    <xdr:ext cx="447879" cy="18626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B8BE1B3-D25C-445A-BEB4-84AFB649C9D8}"/>
            </a:ext>
          </a:extLst>
        </xdr:cNvPr>
        <xdr:cNvSpPr txBox="1"/>
      </xdr:nvSpPr>
      <xdr:spPr>
        <a:xfrm>
          <a:off x="9526120" y="4308862"/>
          <a:ext cx="447879" cy="1862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600" b="1"/>
            <a:t>11%</a:t>
          </a:r>
          <a:endParaRPr lang="en-PK" sz="600" b="1"/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5:D12" totalsRowShown="0" headerRowDxfId="51" dataDxfId="50">
  <tableColumns count="2">
    <tableColumn id="1" xr3:uid="{00000000-0010-0000-0000-000001000000}" name="Year" dataDxfId="49"/>
    <tableColumn id="2" xr3:uid="{00000000-0010-0000-0000-000002000000}" name="No of Accidents" dataDxfId="48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C24:D36" totalsRowShown="0" headerRowDxfId="47" dataDxfId="46">
  <tableColumns count="2">
    <tableColumn id="1" xr3:uid="{00000000-0010-0000-0100-000001000000}" name="Month" dataDxfId="45"/>
    <tableColumn id="2" xr3:uid="{00000000-0010-0000-0100-000002000000}" name="No of Accidents" dataDxfId="44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7" displayName="Table7" ref="C194:D197" totalsRowShown="0" headerRowDxfId="43" dataDxfId="42">
  <tableColumns count="2">
    <tableColumn id="1" xr3:uid="{00000000-0010-0000-0600-000001000000}" name="Ruch Time" dataDxfId="41"/>
    <tableColumn id="2" xr3:uid="{00000000-0010-0000-0600-000002000000}" name="No of Accidents" dataDxfId="40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C214:D219" totalsRowShown="0" headerRowDxfId="39" dataDxfId="38">
  <tableColumns count="2">
    <tableColumn id="1" xr3:uid="{00000000-0010-0000-0700-000001000000}" name="Weather Condition" dataDxfId="37"/>
    <tableColumn id="2" xr3:uid="{00000000-0010-0000-0700-000002000000}" name="Avg Severity " dataDxfId="36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1" displayName="Table11" ref="C235:D236" totalsRowShown="0" headerRowDxfId="35" dataDxfId="34">
  <tableColumns count="2">
    <tableColumn id="1" xr3:uid="{00000000-0010-0000-0A00-000001000000}" name="City" dataDxfId="33"/>
    <tableColumn id="2" xr3:uid="{00000000-0010-0000-0A00-000002000000}" name="Avg Duration -H" dataDxfId="32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2" displayName="Table12" ref="C253:D255" totalsRowShown="0" headerRowDxfId="31" dataDxfId="30">
  <tableColumns count="2">
    <tableColumn id="1" xr3:uid="{00000000-0010-0000-0B00-000001000000}" name="WindSpeed" dataDxfId="29"/>
    <tableColumn id="2" xr3:uid="{00000000-0010-0000-0B00-000002000000}" name="Avg Duration - H" dataDxfId="28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3" displayName="Table13" ref="C272:D274" totalsRowShown="0" headerRowDxfId="27" dataDxfId="26">
  <tableColumns count="2">
    <tableColumn id="1" xr3:uid="{00000000-0010-0000-0C00-000001000000}" name="Day type" dataDxfId="25"/>
    <tableColumn id="2" xr3:uid="{00000000-0010-0000-0C00-000002000000}" name="Avg Duration - H" dataDxfId="24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447CC17-D6F4-4047-A198-4C5892F77023}" name="Table15" displayName="Table15" ref="C41:D90" totalsRowShown="0" headerRowDxfId="23" dataDxfId="22">
  <tableColumns count="2">
    <tableColumn id="1" xr3:uid="{842F4309-0EC0-42B3-A78F-F69781F68AD6}" name="States" dataDxfId="21"/>
    <tableColumn id="2" xr3:uid="{561E6A07-7A43-4710-8DCD-9E7C6BF40551}" name="No of Accidents" dataDxfId="20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4F93A5F-2F12-41D6-9D9A-DA3060224F4A}" name="Table16" displayName="Table16" ref="C101:D111" totalsRowShown="0" headerRowDxfId="19" dataDxfId="18">
  <sortState xmlns:xlrd2="http://schemas.microsoft.com/office/spreadsheetml/2017/richdata2" ref="C102:D111">
    <sortCondition ref="D102:D111"/>
  </sortState>
  <tableColumns count="2">
    <tableColumn id="1" xr3:uid="{31E2769A-08E9-4FC9-8F71-A878C2382D00}" name="Cities In CA" dataDxfId="17"/>
    <tableColumn id="2" xr3:uid="{4888B53A-324D-4CEF-9D75-05512BB68298}" name="No of Accidents" dataDxfId="16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59EECD-A095-4E04-B8C1-D18FD8C9AA38}" name="Table17" displayName="Table17" ref="C124:D126" totalsRowShown="0" headerRowDxfId="15" dataDxfId="14">
  <tableColumns count="2">
    <tableColumn id="1" xr3:uid="{559BC40B-DBB3-4713-85FF-FB1BDD3FDE81}" name="Day type" dataDxfId="13"/>
    <tableColumn id="2" xr3:uid="{9D87261D-F495-4726-8D65-641A8CA61B2C}" name="No of Accidents" dataDxfId="12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0A5E5E5-1D1C-4059-BC35-2FDCFA4F7BC9}" name="Table18" displayName="Table18" ref="C157:D181" totalsRowShown="0" headerRowDxfId="11" dataDxfId="10">
  <sortState xmlns:xlrd2="http://schemas.microsoft.com/office/spreadsheetml/2017/richdata2" ref="C158:D181">
    <sortCondition descending="1" ref="C157:C181"/>
  </sortState>
  <tableColumns count="2">
    <tableColumn id="1" xr3:uid="{2109B092-F7A4-438A-9819-E25D2C27F3AE}" name="Time (H)" dataDxfId="9"/>
    <tableColumn id="2" xr3:uid="{872F81EF-2971-4EC4-A951-F75133271D3E}" name="No of Accidents" dataDxfId="8"/>
  </tableColumns>
  <tableStyleInfo name="TableStyleLight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88DD9EC-1D5A-4F0F-B8FC-4127F86B5EC3}" name="Table1320" displayName="Table1320" ref="C287:D289" totalsRowShown="0" headerRowDxfId="7" dataDxfId="6">
  <tableColumns count="2">
    <tableColumn id="1" xr3:uid="{AE017695-1BF6-41D4-9095-F0C242A01387}" name="Day type" dataDxfId="5"/>
    <tableColumn id="2" xr3:uid="{BD4EAF03-4C2A-44EF-B50E-AF850BCC17B7}" name="Avg Duration - H" dataDxfId="4"/>
  </tableColumns>
  <tableStyleInfo name="TableStyleLight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4583C6D-1AC4-4E2B-90CF-A539290FC249}" name="Table132021" displayName="Table132021" ref="C304:D307" totalsRowShown="0" headerRowDxfId="3" dataDxfId="2">
  <tableColumns count="2">
    <tableColumn id="1" xr3:uid="{FFFC4234-74E1-4EF9-B835-BCA3CB44BBDC}" name="Ruch Time" dataDxfId="1"/>
    <tableColumn id="2" xr3:uid="{73C789A4-1014-4129-91E6-1A7521D26665}" name="Avg Duration - H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P307"/>
  <sheetViews>
    <sheetView tabSelected="1" topLeftCell="B153" zoomScale="92" zoomScaleNormal="64" workbookViewId="0">
      <selection activeCell="N167" sqref="N167"/>
    </sheetView>
  </sheetViews>
  <sheetFormatPr defaultRowHeight="14.4" x14ac:dyDescent="0.3"/>
  <cols>
    <col min="3" max="3" width="27" customWidth="1"/>
    <col min="4" max="4" width="19.109375" customWidth="1"/>
    <col min="5" max="5" width="17.109375" customWidth="1"/>
    <col min="6" max="6" width="13.77734375" customWidth="1"/>
    <col min="12" max="12" width="12.109375" bestFit="1" customWidth="1"/>
    <col min="14" max="14" width="30.88671875" customWidth="1"/>
    <col min="15" max="15" width="12.88671875" bestFit="1" customWidth="1"/>
  </cols>
  <sheetData>
    <row r="3" spans="3:12" x14ac:dyDescent="0.3">
      <c r="C3" s="19" t="s">
        <v>113</v>
      </c>
      <c r="D3" s="19"/>
      <c r="E3" s="19"/>
      <c r="F3" s="19"/>
    </row>
    <row r="4" spans="3:12" x14ac:dyDescent="0.3">
      <c r="L4" s="16">
        <v>0.11700000000000001</v>
      </c>
    </row>
    <row r="5" spans="3:12" x14ac:dyDescent="0.3">
      <c r="C5" s="1" t="s">
        <v>0</v>
      </c>
      <c r="D5" s="1" t="s">
        <v>1</v>
      </c>
    </row>
    <row r="6" spans="3:12" x14ac:dyDescent="0.3">
      <c r="C6" s="1">
        <v>2016</v>
      </c>
      <c r="D6" s="1">
        <v>26663</v>
      </c>
    </row>
    <row r="7" spans="3:12" x14ac:dyDescent="0.3">
      <c r="C7" s="1">
        <v>2017</v>
      </c>
      <c r="D7" s="1">
        <v>46514</v>
      </c>
    </row>
    <row r="8" spans="3:12" x14ac:dyDescent="0.3">
      <c r="C8" s="1">
        <v>2018</v>
      </c>
      <c r="D8" s="1">
        <v>57578</v>
      </c>
    </row>
    <row r="9" spans="3:12" x14ac:dyDescent="0.3">
      <c r="C9" s="1">
        <v>2019</v>
      </c>
      <c r="D9" s="1">
        <v>61852</v>
      </c>
    </row>
    <row r="10" spans="3:12" x14ac:dyDescent="0.3">
      <c r="C10" s="1">
        <v>2020</v>
      </c>
      <c r="D10" s="1">
        <v>76155</v>
      </c>
    </row>
    <row r="11" spans="3:12" x14ac:dyDescent="0.3">
      <c r="C11" s="1">
        <v>2021</v>
      </c>
      <c r="D11" s="1">
        <v>101740</v>
      </c>
    </row>
    <row r="12" spans="3:12" x14ac:dyDescent="0.3">
      <c r="C12" s="1">
        <v>2022</v>
      </c>
      <c r="D12" s="1">
        <v>113734</v>
      </c>
      <c r="L12">
        <f>AVERAGE(D6:D11)</f>
        <v>61750.333333333336</v>
      </c>
    </row>
    <row r="13" spans="3:12" x14ac:dyDescent="0.3">
      <c r="L13">
        <f>D12-61750/61750</f>
        <v>113733</v>
      </c>
    </row>
    <row r="14" spans="3:12" x14ac:dyDescent="0.3">
      <c r="L14" s="16">
        <f>113733/500000</f>
        <v>0.227466</v>
      </c>
    </row>
    <row r="22" spans="3:14" x14ac:dyDescent="0.3">
      <c r="C22" s="19" t="s">
        <v>2</v>
      </c>
      <c r="D22" s="19"/>
      <c r="E22" s="19"/>
      <c r="F22" s="19"/>
    </row>
    <row r="24" spans="3:14" x14ac:dyDescent="0.3">
      <c r="C24" s="1" t="s">
        <v>3</v>
      </c>
      <c r="D24" s="1" t="s">
        <v>1</v>
      </c>
    </row>
    <row r="25" spans="3:14" x14ac:dyDescent="0.3">
      <c r="C25" s="1" t="s">
        <v>4</v>
      </c>
      <c r="D25" s="1">
        <v>38241</v>
      </c>
      <c r="N25" s="16"/>
    </row>
    <row r="26" spans="3:14" x14ac:dyDescent="0.3">
      <c r="C26" s="1" t="s">
        <v>5</v>
      </c>
      <c r="D26" s="1">
        <v>39407</v>
      </c>
      <c r="M26">
        <f>AVERAGE(D25:D35)</f>
        <v>39058.818181818184</v>
      </c>
      <c r="N26" s="16"/>
    </row>
    <row r="27" spans="3:14" x14ac:dyDescent="0.3">
      <c r="C27" s="1" t="s">
        <v>6</v>
      </c>
      <c r="D27" s="1">
        <v>33660</v>
      </c>
      <c r="M27" s="16">
        <f>(54589-39058)/39058</f>
        <v>0.39763940805980846</v>
      </c>
    </row>
    <row r="28" spans="3:14" x14ac:dyDescent="0.3">
      <c r="C28" s="1" t="s">
        <v>7</v>
      </c>
      <c r="D28" s="1">
        <v>38378</v>
      </c>
    </row>
    <row r="29" spans="3:14" x14ac:dyDescent="0.3">
      <c r="C29" s="1" t="s">
        <v>8</v>
      </c>
      <c r="D29" s="1">
        <v>36154</v>
      </c>
    </row>
    <row r="30" spans="3:14" x14ac:dyDescent="0.3">
      <c r="C30" s="1" t="s">
        <v>9</v>
      </c>
      <c r="D30" s="1">
        <v>36660</v>
      </c>
      <c r="M30">
        <f>(D36-D35)/D35</f>
        <v>0.11360669114647083</v>
      </c>
    </row>
    <row r="31" spans="3:14" x14ac:dyDescent="0.3">
      <c r="C31" s="1" t="s">
        <v>10</v>
      </c>
      <c r="D31" s="1">
        <v>33363</v>
      </c>
    </row>
    <row r="32" spans="3:14" x14ac:dyDescent="0.3">
      <c r="C32" s="1" t="s">
        <v>11</v>
      </c>
      <c r="D32" s="1">
        <v>38670</v>
      </c>
    </row>
    <row r="33" spans="3:15" x14ac:dyDescent="0.3">
      <c r="C33" s="1" t="s">
        <v>12</v>
      </c>
      <c r="D33" s="1">
        <v>42255</v>
      </c>
    </row>
    <row r="34" spans="3:15" x14ac:dyDescent="0.3">
      <c r="C34" s="1" t="s">
        <v>13</v>
      </c>
      <c r="D34" s="1">
        <v>43839</v>
      </c>
    </row>
    <row r="35" spans="3:15" x14ac:dyDescent="0.3">
      <c r="C35" s="1" t="s">
        <v>14</v>
      </c>
      <c r="D35" s="1">
        <v>49020</v>
      </c>
    </row>
    <row r="36" spans="3:15" x14ac:dyDescent="0.3">
      <c r="C36" s="1" t="s">
        <v>15</v>
      </c>
      <c r="D36" s="1">
        <v>54589</v>
      </c>
    </row>
    <row r="40" spans="3:15" s="3" customFormat="1" x14ac:dyDescent="0.3">
      <c r="C40" s="19" t="s">
        <v>33</v>
      </c>
      <c r="D40" s="19"/>
    </row>
    <row r="41" spans="3:15" s="3" customFormat="1" x14ac:dyDescent="0.3">
      <c r="C41" s="1" t="s">
        <v>83</v>
      </c>
      <c r="D41" s="1" t="s">
        <v>1</v>
      </c>
    </row>
    <row r="42" spans="3:15" s="3" customFormat="1" x14ac:dyDescent="0.3">
      <c r="C42" s="1" t="s">
        <v>34</v>
      </c>
      <c r="D42" s="1">
        <v>108503</v>
      </c>
    </row>
    <row r="43" spans="3:15" s="3" customFormat="1" x14ac:dyDescent="0.3">
      <c r="C43" s="1" t="s">
        <v>35</v>
      </c>
      <c r="D43" s="1">
        <v>55302</v>
      </c>
    </row>
    <row r="44" spans="3:15" s="3" customFormat="1" x14ac:dyDescent="0.3">
      <c r="C44" s="1" t="s">
        <v>36</v>
      </c>
      <c r="D44" s="1">
        <v>36485</v>
      </c>
    </row>
    <row r="45" spans="3:15" s="3" customFormat="1" x14ac:dyDescent="0.3">
      <c r="C45" s="1" t="s">
        <v>37</v>
      </c>
      <c r="D45" s="1">
        <v>24172</v>
      </c>
    </row>
    <row r="46" spans="3:15" s="3" customFormat="1" x14ac:dyDescent="0.3">
      <c r="C46" s="1" t="s">
        <v>38</v>
      </c>
      <c r="D46" s="1">
        <v>21910</v>
      </c>
    </row>
    <row r="47" spans="3:15" s="3" customFormat="1" x14ac:dyDescent="0.3">
      <c r="C47" s="1" t="s">
        <v>39</v>
      </c>
      <c r="D47" s="1">
        <v>21142</v>
      </c>
      <c r="N47" s="17"/>
    </row>
    <row r="48" spans="3:15" s="3" customFormat="1" x14ac:dyDescent="0.3">
      <c r="C48" s="1" t="s">
        <v>40</v>
      </c>
      <c r="D48" s="1">
        <v>18800</v>
      </c>
      <c r="O48" s="3">
        <f>AVERAGE(D43:D90)</f>
        <v>7827.770833333333</v>
      </c>
    </row>
    <row r="49" spans="3:15" s="3" customFormat="1" x14ac:dyDescent="0.3">
      <c r="C49" s="1" t="s">
        <v>41</v>
      </c>
      <c r="D49" s="1">
        <v>18703</v>
      </c>
      <c r="O49" s="18">
        <f>(D42-O51)/O51</f>
        <v>17.795703188155858</v>
      </c>
    </row>
    <row r="50" spans="3:15" s="3" customFormat="1" x14ac:dyDescent="0.3">
      <c r="C50" s="1" t="s">
        <v>42</v>
      </c>
      <c r="D50" s="1">
        <v>11765</v>
      </c>
    </row>
    <row r="51" spans="3:15" s="3" customFormat="1" x14ac:dyDescent="0.3">
      <c r="C51" s="1" t="s">
        <v>43</v>
      </c>
      <c r="D51" s="1">
        <v>11169</v>
      </c>
      <c r="O51" s="3">
        <f>AVERAGE(D46:D93)</f>
        <v>5772.7555555555555</v>
      </c>
    </row>
    <row r="52" spans="3:15" s="3" customFormat="1" x14ac:dyDescent="0.3">
      <c r="C52" s="1" t="s">
        <v>44</v>
      </c>
      <c r="D52" s="1">
        <v>10734</v>
      </c>
    </row>
    <row r="53" spans="3:15" s="3" customFormat="1" x14ac:dyDescent="0.3">
      <c r="C53" s="1" t="s">
        <v>45</v>
      </c>
      <c r="D53" s="1">
        <v>10705</v>
      </c>
    </row>
    <row r="54" spans="3:15" s="3" customFormat="1" x14ac:dyDescent="0.3">
      <c r="C54" s="1" t="s">
        <v>46</v>
      </c>
      <c r="D54" s="1">
        <v>10653</v>
      </c>
    </row>
    <row r="55" spans="3:15" s="3" customFormat="1" x14ac:dyDescent="0.3">
      <c r="C55" s="1" t="s">
        <v>47</v>
      </c>
      <c r="D55" s="1">
        <v>10523</v>
      </c>
    </row>
    <row r="56" spans="3:15" s="3" customFormat="1" x14ac:dyDescent="0.3">
      <c r="C56" s="1" t="s">
        <v>48</v>
      </c>
      <c r="D56" s="1">
        <v>10207</v>
      </c>
    </row>
    <row r="57" spans="3:15" s="3" customFormat="1" x14ac:dyDescent="0.3">
      <c r="C57" s="1" t="s">
        <v>49</v>
      </c>
      <c r="D57" s="1">
        <v>9452</v>
      </c>
    </row>
    <row r="58" spans="3:15" s="3" customFormat="1" x14ac:dyDescent="0.3">
      <c r="C58" s="1" t="s">
        <v>50</v>
      </c>
      <c r="D58" s="1">
        <v>8940</v>
      </c>
    </row>
    <row r="59" spans="3:15" s="3" customFormat="1" x14ac:dyDescent="0.3">
      <c r="C59" s="1" t="s">
        <v>51</v>
      </c>
      <c r="D59" s="1">
        <v>8721</v>
      </c>
    </row>
    <row r="60" spans="3:15" s="3" customFormat="1" x14ac:dyDescent="0.3">
      <c r="C60" s="1" t="s">
        <v>52</v>
      </c>
      <c r="D60" s="1">
        <v>7330</v>
      </c>
    </row>
    <row r="61" spans="3:15" s="3" customFormat="1" x14ac:dyDescent="0.3">
      <c r="C61" s="1" t="s">
        <v>53</v>
      </c>
      <c r="D61" s="1">
        <v>6868</v>
      </c>
    </row>
    <row r="62" spans="3:15" s="3" customFormat="1" x14ac:dyDescent="0.3">
      <c r="C62" s="1" t="s">
        <v>54</v>
      </c>
      <c r="D62" s="1">
        <v>6528</v>
      </c>
    </row>
    <row r="63" spans="3:15" s="3" customFormat="1" x14ac:dyDescent="0.3">
      <c r="C63" s="1" t="s">
        <v>55</v>
      </c>
      <c r="D63" s="1">
        <v>6151</v>
      </c>
    </row>
    <row r="64" spans="3:15" s="3" customFormat="1" x14ac:dyDescent="0.3">
      <c r="C64" s="1" t="s">
        <v>56</v>
      </c>
      <c r="D64" s="1">
        <v>5614</v>
      </c>
    </row>
    <row r="65" spans="3:4" s="3" customFormat="1" x14ac:dyDescent="0.3">
      <c r="C65" s="1" t="s">
        <v>57</v>
      </c>
      <c r="D65" s="1">
        <v>5260</v>
      </c>
    </row>
    <row r="66" spans="3:4" s="3" customFormat="1" x14ac:dyDescent="0.3">
      <c r="C66" s="1" t="s">
        <v>58</v>
      </c>
      <c r="D66" s="1">
        <v>4874</v>
      </c>
    </row>
    <row r="67" spans="3:4" s="3" customFormat="1" x14ac:dyDescent="0.3">
      <c r="C67" s="1" t="s">
        <v>59</v>
      </c>
      <c r="D67" s="1">
        <v>4446</v>
      </c>
    </row>
    <row r="68" spans="3:4" s="3" customFormat="1" x14ac:dyDescent="0.3">
      <c r="C68" s="1" t="s">
        <v>60</v>
      </c>
      <c r="D68" s="1">
        <v>4225</v>
      </c>
    </row>
    <row r="69" spans="3:4" s="3" customFormat="1" x14ac:dyDescent="0.3">
      <c r="C69" s="1" t="s">
        <v>61</v>
      </c>
      <c r="D69" s="1">
        <v>3915</v>
      </c>
    </row>
    <row r="70" spans="3:4" s="3" customFormat="1" x14ac:dyDescent="0.3">
      <c r="C70" s="1" t="s">
        <v>62</v>
      </c>
      <c r="D70" s="1">
        <v>2155</v>
      </c>
    </row>
    <row r="71" spans="3:4" s="3" customFormat="1" x14ac:dyDescent="0.3">
      <c r="C71" s="1" t="s">
        <v>63</v>
      </c>
      <c r="D71" s="1">
        <v>2097</v>
      </c>
    </row>
    <row r="72" spans="3:4" s="3" customFormat="1" x14ac:dyDescent="0.3">
      <c r="C72" s="1" t="s">
        <v>64</v>
      </c>
      <c r="D72" s="1">
        <v>1888</v>
      </c>
    </row>
    <row r="73" spans="3:4" s="3" customFormat="1" x14ac:dyDescent="0.3">
      <c r="C73" s="1" t="s">
        <v>65</v>
      </c>
      <c r="D73" s="1">
        <v>1730</v>
      </c>
    </row>
    <row r="74" spans="3:4" s="3" customFormat="1" x14ac:dyDescent="0.3">
      <c r="C74" s="1" t="s">
        <v>66</v>
      </c>
      <c r="D74" s="1">
        <v>1687</v>
      </c>
    </row>
    <row r="75" spans="3:4" s="3" customFormat="1" x14ac:dyDescent="0.3">
      <c r="C75" s="1" t="s">
        <v>67</v>
      </c>
      <c r="D75" s="1">
        <v>1426</v>
      </c>
    </row>
    <row r="76" spans="3:4" s="3" customFormat="1" x14ac:dyDescent="0.3">
      <c r="C76" s="1" t="s">
        <v>68</v>
      </c>
      <c r="D76" s="1">
        <v>1309</v>
      </c>
    </row>
    <row r="77" spans="3:4" s="3" customFormat="1" x14ac:dyDescent="0.3">
      <c r="C77" s="1" t="s">
        <v>69</v>
      </c>
      <c r="D77" s="1">
        <v>1277</v>
      </c>
    </row>
    <row r="78" spans="3:4" s="3" customFormat="1" x14ac:dyDescent="0.3">
      <c r="C78" s="1" t="s">
        <v>70</v>
      </c>
      <c r="D78" s="1">
        <v>1159</v>
      </c>
    </row>
    <row r="79" spans="3:4" s="3" customFormat="1" x14ac:dyDescent="0.3">
      <c r="C79" s="1" t="s">
        <v>71</v>
      </c>
      <c r="D79" s="1">
        <v>1092</v>
      </c>
    </row>
    <row r="80" spans="3:4" x14ac:dyDescent="0.3">
      <c r="C80" s="1" t="s">
        <v>72</v>
      </c>
      <c r="D80" s="1">
        <v>956</v>
      </c>
    </row>
    <row r="81" spans="3:16" x14ac:dyDescent="0.3">
      <c r="C81" s="1" t="s">
        <v>73</v>
      </c>
      <c r="D81" s="1">
        <v>897</v>
      </c>
    </row>
    <row r="82" spans="3:16" x14ac:dyDescent="0.3">
      <c r="C82" s="1" t="s">
        <v>74</v>
      </c>
      <c r="D82" s="1">
        <v>782</v>
      </c>
    </row>
    <row r="83" spans="3:16" x14ac:dyDescent="0.3">
      <c r="C83" s="1" t="s">
        <v>75</v>
      </c>
      <c r="D83" s="1">
        <v>701</v>
      </c>
    </row>
    <row r="84" spans="3:16" x14ac:dyDescent="0.3">
      <c r="C84" s="1" t="s">
        <v>76</v>
      </c>
      <c r="D84" s="1">
        <v>635</v>
      </c>
    </row>
    <row r="85" spans="3:16" x14ac:dyDescent="0.3">
      <c r="C85" s="1" t="s">
        <v>77</v>
      </c>
      <c r="D85" s="1">
        <v>629</v>
      </c>
    </row>
    <row r="86" spans="3:16" x14ac:dyDescent="0.3">
      <c r="C86" s="1" t="s">
        <v>78</v>
      </c>
      <c r="D86" s="1">
        <v>221</v>
      </c>
    </row>
    <row r="87" spans="3:16" x14ac:dyDescent="0.3">
      <c r="C87" s="1" t="s">
        <v>79</v>
      </c>
      <c r="D87" s="1">
        <v>220</v>
      </c>
    </row>
    <row r="88" spans="3:16" x14ac:dyDescent="0.3">
      <c r="C88" s="1" t="s">
        <v>80</v>
      </c>
      <c r="D88" s="1">
        <v>202</v>
      </c>
    </row>
    <row r="89" spans="3:16" x14ac:dyDescent="0.3">
      <c r="C89" s="1" t="s">
        <v>81</v>
      </c>
      <c r="D89" s="1">
        <v>57</v>
      </c>
    </row>
    <row r="90" spans="3:16" x14ac:dyDescent="0.3">
      <c r="C90" s="1" t="s">
        <v>82</v>
      </c>
      <c r="D90" s="1">
        <v>19</v>
      </c>
    </row>
    <row r="95" spans="3:16" x14ac:dyDescent="0.3">
      <c r="P95" s="16">
        <f>(9926-4203)/4203</f>
        <v>1.3616464430168926</v>
      </c>
    </row>
    <row r="99" spans="3:16" x14ac:dyDescent="0.3">
      <c r="C99" s="19" t="s">
        <v>94</v>
      </c>
      <c r="D99" s="19"/>
      <c r="E99" s="19"/>
      <c r="F99" s="19"/>
    </row>
    <row r="101" spans="3:16" x14ac:dyDescent="0.3">
      <c r="C101" s="1" t="s">
        <v>93</v>
      </c>
      <c r="D101" s="1" t="s">
        <v>1</v>
      </c>
    </row>
    <row r="102" spans="3:16" x14ac:dyDescent="0.3">
      <c r="C102" s="1" t="s">
        <v>92</v>
      </c>
      <c r="D102" s="1">
        <v>1298</v>
      </c>
    </row>
    <row r="103" spans="3:16" x14ac:dyDescent="0.3">
      <c r="C103" s="1" t="s">
        <v>91</v>
      </c>
      <c r="D103" s="1">
        <v>1322</v>
      </c>
    </row>
    <row r="104" spans="3:16" x14ac:dyDescent="0.3">
      <c r="C104" s="1" t="s">
        <v>90</v>
      </c>
      <c r="D104" s="1">
        <v>1365</v>
      </c>
    </row>
    <row r="105" spans="3:16" x14ac:dyDescent="0.3">
      <c r="C105" s="1" t="s">
        <v>89</v>
      </c>
      <c r="D105" s="1">
        <v>1398</v>
      </c>
    </row>
    <row r="106" spans="3:16" x14ac:dyDescent="0.3">
      <c r="C106" s="1" t="s">
        <v>88</v>
      </c>
      <c r="D106" s="1">
        <v>1458</v>
      </c>
    </row>
    <row r="107" spans="3:16" x14ac:dyDescent="0.3">
      <c r="C107" s="1" t="s">
        <v>87</v>
      </c>
      <c r="D107" s="1">
        <v>1617</v>
      </c>
    </row>
    <row r="108" spans="3:16" x14ac:dyDescent="0.3">
      <c r="C108" s="1" t="s">
        <v>86</v>
      </c>
      <c r="D108" s="1">
        <v>2154</v>
      </c>
    </row>
    <row r="109" spans="3:16" x14ac:dyDescent="0.3">
      <c r="C109" s="1" t="s">
        <v>85</v>
      </c>
      <c r="D109" s="1">
        <v>3405</v>
      </c>
    </row>
    <row r="110" spans="3:16" x14ac:dyDescent="0.3">
      <c r="C110" s="1" t="s">
        <v>84</v>
      </c>
      <c r="D110" s="1">
        <v>4203</v>
      </c>
      <c r="P110">
        <f>AVERAGE(D102:D111)</f>
        <v>2814.6</v>
      </c>
    </row>
    <row r="111" spans="3:16" x14ac:dyDescent="0.3">
      <c r="C111" s="1" t="s">
        <v>17</v>
      </c>
      <c r="D111" s="1">
        <v>9926</v>
      </c>
      <c r="P111" s="16">
        <f>(9926-2814)/2814</f>
        <v>2.527363184079602</v>
      </c>
    </row>
    <row r="112" spans="3:16" x14ac:dyDescent="0.3">
      <c r="C112" s="1"/>
      <c r="D112" s="1"/>
    </row>
    <row r="113" spans="3:6" x14ac:dyDescent="0.3">
      <c r="C113" s="1"/>
      <c r="D113" s="1"/>
    </row>
    <row r="114" spans="3:6" x14ac:dyDescent="0.3">
      <c r="C114" s="1"/>
      <c r="D114" s="1"/>
    </row>
    <row r="115" spans="3:6" x14ac:dyDescent="0.3">
      <c r="C115" s="1"/>
      <c r="D115" s="1"/>
    </row>
    <row r="116" spans="3:6" x14ac:dyDescent="0.3">
      <c r="C116" s="1"/>
      <c r="D116" s="1"/>
    </row>
    <row r="117" spans="3:6" x14ac:dyDescent="0.3">
      <c r="C117" s="1"/>
      <c r="D117" s="1"/>
    </row>
    <row r="118" spans="3:6" x14ac:dyDescent="0.3">
      <c r="C118" s="1"/>
      <c r="D118" s="1"/>
    </row>
    <row r="119" spans="3:6" x14ac:dyDescent="0.3">
      <c r="C119" s="1"/>
      <c r="D119" s="1"/>
    </row>
    <row r="120" spans="3:6" x14ac:dyDescent="0.3">
      <c r="C120" s="1"/>
      <c r="D120" s="1"/>
    </row>
    <row r="121" spans="3:6" x14ac:dyDescent="0.3">
      <c r="C121" s="1"/>
      <c r="D121" s="1"/>
    </row>
    <row r="122" spans="3:6" x14ac:dyDescent="0.3">
      <c r="C122" s="19" t="s">
        <v>114</v>
      </c>
      <c r="D122" s="19"/>
      <c r="E122" s="19"/>
      <c r="F122" s="19"/>
    </row>
    <row r="124" spans="3:6" x14ac:dyDescent="0.3">
      <c r="C124" s="1" t="s">
        <v>96</v>
      </c>
      <c r="D124" s="1" t="s">
        <v>1</v>
      </c>
      <c r="E124" s="1"/>
    </row>
    <row r="125" spans="3:6" x14ac:dyDescent="0.3">
      <c r="C125" s="1" t="s">
        <v>95</v>
      </c>
      <c r="D125" s="1">
        <v>7704</v>
      </c>
      <c r="E125" s="1"/>
    </row>
    <row r="126" spans="3:6" x14ac:dyDescent="0.3">
      <c r="C126" s="1" t="s">
        <v>21</v>
      </c>
      <c r="D126" s="1">
        <v>2222</v>
      </c>
      <c r="E126" s="1"/>
    </row>
    <row r="127" spans="3:6" x14ac:dyDescent="0.3">
      <c r="C127" s="1"/>
      <c r="D127" s="8"/>
    </row>
    <row r="128" spans="3:6" x14ac:dyDescent="0.3">
      <c r="C128" s="1"/>
      <c r="D128" s="1"/>
    </row>
    <row r="129" spans="3:5" x14ac:dyDescent="0.3">
      <c r="C129" s="1"/>
      <c r="D129" s="1"/>
    </row>
    <row r="130" spans="3:5" x14ac:dyDescent="0.3">
      <c r="C130" s="1"/>
      <c r="D130" s="1"/>
    </row>
    <row r="138" spans="3:5" x14ac:dyDescent="0.3">
      <c r="C138" s="19" t="s">
        <v>112</v>
      </c>
      <c r="D138" s="19"/>
      <c r="E138" s="19"/>
    </row>
    <row r="140" spans="3:5" x14ac:dyDescent="0.3">
      <c r="E140" s="1"/>
    </row>
    <row r="141" spans="3:5" x14ac:dyDescent="0.3">
      <c r="C141" s="4" t="s">
        <v>97</v>
      </c>
      <c r="D141" s="9" t="s">
        <v>98</v>
      </c>
      <c r="E141" s="2"/>
    </row>
    <row r="142" spans="3:5" x14ac:dyDescent="0.3">
      <c r="C142" s="5" t="s">
        <v>19</v>
      </c>
      <c r="D142" s="10">
        <f>3553/9926</f>
        <v>0.35794882127745314</v>
      </c>
      <c r="E142" s="2"/>
    </row>
    <row r="143" spans="3:5" x14ac:dyDescent="0.3">
      <c r="C143" s="6" t="s">
        <v>18</v>
      </c>
      <c r="D143" s="11">
        <f>6373/9926</f>
        <v>0.6420511787225468</v>
      </c>
    </row>
    <row r="148" spans="2:6" x14ac:dyDescent="0.3">
      <c r="C148" s="1"/>
      <c r="D148" s="1"/>
    </row>
    <row r="149" spans="2:6" x14ac:dyDescent="0.3">
      <c r="C149" s="1"/>
      <c r="D149" s="2"/>
    </row>
    <row r="150" spans="2:6" x14ac:dyDescent="0.3">
      <c r="C150" s="1"/>
      <c r="D150" s="2"/>
    </row>
    <row r="155" spans="2:6" x14ac:dyDescent="0.3">
      <c r="C155" s="19" t="s">
        <v>99</v>
      </c>
      <c r="D155" s="19"/>
      <c r="E155" s="19"/>
      <c r="F155" s="19"/>
    </row>
    <row r="157" spans="2:6" x14ac:dyDescent="0.3">
      <c r="C157" s="1" t="s">
        <v>100</v>
      </c>
      <c r="D157" s="1" t="s">
        <v>1</v>
      </c>
    </row>
    <row r="158" spans="2:6" x14ac:dyDescent="0.3">
      <c r="B158" s="14"/>
      <c r="C158" s="13">
        <v>1</v>
      </c>
      <c r="D158" s="15">
        <v>2518</v>
      </c>
      <c r="E158" s="12"/>
    </row>
    <row r="159" spans="2:6" x14ac:dyDescent="0.3">
      <c r="B159" s="14"/>
      <c r="C159" s="13">
        <v>0.95833333333333304</v>
      </c>
      <c r="D159" s="15">
        <v>2890</v>
      </c>
      <c r="E159" s="12"/>
    </row>
    <row r="160" spans="2:6" x14ac:dyDescent="0.3">
      <c r="B160" s="14"/>
      <c r="C160" s="13">
        <v>0.91666666666666696</v>
      </c>
      <c r="D160" s="15">
        <v>3194</v>
      </c>
      <c r="E160" s="12"/>
    </row>
    <row r="161" spans="2:5" x14ac:dyDescent="0.3">
      <c r="B161" s="14"/>
      <c r="C161" s="13">
        <v>0.875</v>
      </c>
      <c r="D161" s="15">
        <v>3582</v>
      </c>
      <c r="E161" s="12"/>
    </row>
    <row r="162" spans="2:5" x14ac:dyDescent="0.3">
      <c r="B162" s="14"/>
      <c r="C162" s="13">
        <v>0.83333333333333304</v>
      </c>
      <c r="D162" s="15">
        <v>4363</v>
      </c>
      <c r="E162" s="12"/>
    </row>
    <row r="163" spans="2:5" x14ac:dyDescent="0.3">
      <c r="B163" s="14"/>
      <c r="C163" s="13">
        <v>0.79166666666666696</v>
      </c>
      <c r="D163" s="15">
        <v>5987</v>
      </c>
      <c r="E163" s="12"/>
    </row>
    <row r="164" spans="2:5" x14ac:dyDescent="0.3">
      <c r="B164" s="14"/>
      <c r="C164" s="13">
        <v>0.75</v>
      </c>
      <c r="D164" s="15">
        <v>7513</v>
      </c>
      <c r="E164" s="12"/>
    </row>
    <row r="165" spans="2:5" x14ac:dyDescent="0.3">
      <c r="B165" s="14"/>
      <c r="C165" s="13">
        <v>0.70833333333333304</v>
      </c>
      <c r="D165" s="15">
        <v>7192</v>
      </c>
      <c r="E165" s="12"/>
    </row>
    <row r="166" spans="2:5" x14ac:dyDescent="0.3">
      <c r="B166" s="14"/>
      <c r="C166" s="13">
        <v>0.66666666666666696</v>
      </c>
      <c r="D166" s="15">
        <v>7637</v>
      </c>
      <c r="E166" s="12"/>
    </row>
    <row r="167" spans="2:5" x14ac:dyDescent="0.3">
      <c r="B167" s="14"/>
      <c r="C167" s="13">
        <v>0.625</v>
      </c>
      <c r="D167" s="15">
        <v>6840</v>
      </c>
      <c r="E167" s="12"/>
    </row>
    <row r="168" spans="2:5" x14ac:dyDescent="0.3">
      <c r="B168" s="14"/>
      <c r="C168" s="13">
        <v>0.58333333333333304</v>
      </c>
      <c r="D168" s="15">
        <v>5765</v>
      </c>
      <c r="E168" s="12"/>
    </row>
    <row r="169" spans="2:5" x14ac:dyDescent="0.3">
      <c r="B169" s="14"/>
      <c r="C169" s="13">
        <v>0.54166666666666696</v>
      </c>
      <c r="D169" s="15">
        <v>5195</v>
      </c>
      <c r="E169" s="12"/>
    </row>
    <row r="170" spans="2:5" x14ac:dyDescent="0.3">
      <c r="B170" s="14"/>
      <c r="C170" s="13">
        <v>0.5</v>
      </c>
      <c r="D170" s="15">
        <v>4965</v>
      </c>
      <c r="E170" s="12"/>
    </row>
    <row r="171" spans="2:5" x14ac:dyDescent="0.3">
      <c r="B171" s="14"/>
      <c r="C171" s="13">
        <v>0.45833333333333298</v>
      </c>
      <c r="D171" s="15">
        <v>4719</v>
      </c>
      <c r="E171" s="12"/>
    </row>
    <row r="172" spans="2:5" x14ac:dyDescent="0.3">
      <c r="B172" s="14"/>
      <c r="C172" s="13">
        <v>0.41666666666666702</v>
      </c>
      <c r="D172" s="15">
        <v>4916</v>
      </c>
      <c r="E172" s="12"/>
    </row>
    <row r="173" spans="2:5" x14ac:dyDescent="0.3">
      <c r="B173" s="14"/>
      <c r="C173" s="13">
        <v>0.375</v>
      </c>
      <c r="D173" s="15">
        <v>6009</v>
      </c>
      <c r="E173" s="12"/>
    </row>
    <row r="174" spans="2:5" x14ac:dyDescent="0.3">
      <c r="B174" s="14"/>
      <c r="C174" s="13">
        <v>0.33333333333333298</v>
      </c>
      <c r="D174" s="15">
        <v>6054</v>
      </c>
      <c r="E174" s="12"/>
    </row>
    <row r="175" spans="2:5" x14ac:dyDescent="0.3">
      <c r="B175" s="14"/>
      <c r="C175" s="13">
        <v>0.29166666666666702</v>
      </c>
      <c r="D175" s="15">
        <v>5031</v>
      </c>
      <c r="E175" s="12"/>
    </row>
    <row r="176" spans="2:5" x14ac:dyDescent="0.3">
      <c r="B176" s="14"/>
      <c r="C176" s="13">
        <v>0.25</v>
      </c>
      <c r="D176" s="15">
        <v>3658</v>
      </c>
      <c r="E176" s="12"/>
    </row>
    <row r="177" spans="2:6" x14ac:dyDescent="0.3">
      <c r="B177" s="14"/>
      <c r="C177" s="13">
        <v>0.20833333333333301</v>
      </c>
      <c r="D177" s="15">
        <v>2281</v>
      </c>
      <c r="E177" s="12"/>
    </row>
    <row r="178" spans="2:6" x14ac:dyDescent="0.3">
      <c r="B178" s="14"/>
      <c r="C178" s="13">
        <v>0.16666666666666699</v>
      </c>
      <c r="D178" s="15">
        <v>1724</v>
      </c>
      <c r="E178" s="12"/>
    </row>
    <row r="179" spans="2:6" x14ac:dyDescent="0.3">
      <c r="B179" s="14"/>
      <c r="C179" s="13">
        <v>0.125</v>
      </c>
      <c r="D179" s="15">
        <v>2119</v>
      </c>
      <c r="E179" s="12"/>
    </row>
    <row r="180" spans="2:6" x14ac:dyDescent="0.3">
      <c r="B180" s="14"/>
      <c r="C180" s="13">
        <v>8.3333333333333301E-2</v>
      </c>
      <c r="D180" s="15">
        <v>2027</v>
      </c>
      <c r="E180" s="12"/>
    </row>
    <row r="181" spans="2:6" x14ac:dyDescent="0.3">
      <c r="B181" s="14"/>
      <c r="C181" s="13">
        <v>4.1666666666666664E-2</v>
      </c>
      <c r="D181" s="15">
        <v>2324</v>
      </c>
      <c r="E181" s="12"/>
    </row>
    <row r="182" spans="2:6" x14ac:dyDescent="0.3">
      <c r="C182" s="13"/>
      <c r="D182" s="1"/>
      <c r="E182" s="12"/>
    </row>
    <row r="183" spans="2:6" x14ac:dyDescent="0.3">
      <c r="C183" s="13"/>
      <c r="D183" s="1"/>
      <c r="E183" s="12"/>
    </row>
    <row r="184" spans="2:6" x14ac:dyDescent="0.3">
      <c r="C184" s="13"/>
      <c r="D184" s="1"/>
      <c r="E184" s="12"/>
    </row>
    <row r="192" spans="2:6" x14ac:dyDescent="0.3">
      <c r="C192" s="19" t="s">
        <v>22</v>
      </c>
      <c r="D192" s="19"/>
      <c r="E192" s="19"/>
      <c r="F192" s="19"/>
    </row>
    <row r="194" spans="3:4" x14ac:dyDescent="0.3">
      <c r="C194" s="1" t="s">
        <v>23</v>
      </c>
      <c r="D194" s="1" t="s">
        <v>1</v>
      </c>
    </row>
    <row r="195" spans="3:4" x14ac:dyDescent="0.3">
      <c r="C195" s="1" t="s">
        <v>101</v>
      </c>
      <c r="D195" s="7">
        <v>2.2475999999999998</v>
      </c>
    </row>
    <row r="196" spans="3:4" x14ac:dyDescent="0.3">
      <c r="C196" s="1" t="s">
        <v>25</v>
      </c>
      <c r="D196" s="7">
        <v>2.2248000000000001</v>
      </c>
    </row>
    <row r="197" spans="3:4" x14ac:dyDescent="0.3">
      <c r="C197" s="1" t="s">
        <v>24</v>
      </c>
      <c r="D197" s="7">
        <v>2.2214999999999998</v>
      </c>
    </row>
    <row r="212" spans="3:6" x14ac:dyDescent="0.3">
      <c r="C212" s="19" t="s">
        <v>26</v>
      </c>
      <c r="D212" s="19"/>
      <c r="E212" s="19"/>
      <c r="F212" s="19"/>
    </row>
    <row r="214" spans="3:6" x14ac:dyDescent="0.3">
      <c r="C214" s="1" t="s">
        <v>27</v>
      </c>
      <c r="D214" s="1" t="s">
        <v>20</v>
      </c>
    </row>
    <row r="215" spans="3:6" x14ac:dyDescent="0.3">
      <c r="C215" s="1" t="s">
        <v>102</v>
      </c>
      <c r="D215" s="8">
        <v>2.6667000000000001</v>
      </c>
    </row>
    <row r="216" spans="3:6" x14ac:dyDescent="0.3">
      <c r="C216" s="1" t="s">
        <v>103</v>
      </c>
      <c r="D216" s="8">
        <v>2.5093000000000001</v>
      </c>
    </row>
    <row r="217" spans="3:6" x14ac:dyDescent="0.3">
      <c r="C217" s="1" t="s">
        <v>104</v>
      </c>
      <c r="D217" s="8">
        <v>2.5</v>
      </c>
    </row>
    <row r="218" spans="3:6" x14ac:dyDescent="0.3">
      <c r="C218" s="1" t="s">
        <v>105</v>
      </c>
      <c r="D218" s="8">
        <v>2.4922</v>
      </c>
    </row>
    <row r="219" spans="3:6" x14ac:dyDescent="0.3">
      <c r="C219" s="1" t="s">
        <v>106</v>
      </c>
      <c r="D219" s="8">
        <v>2.4462000000000002</v>
      </c>
    </row>
    <row r="220" spans="3:6" x14ac:dyDescent="0.3">
      <c r="C220" s="1"/>
      <c r="D220" s="1"/>
    </row>
    <row r="221" spans="3:6" x14ac:dyDescent="0.3">
      <c r="C221" s="1"/>
      <c r="D221" s="1"/>
    </row>
    <row r="222" spans="3:6" x14ac:dyDescent="0.3">
      <c r="C222" s="1"/>
      <c r="D222" s="1"/>
    </row>
    <row r="223" spans="3:6" x14ac:dyDescent="0.3">
      <c r="C223" s="1"/>
      <c r="D223" s="1"/>
    </row>
    <row r="233" spans="3:5" x14ac:dyDescent="0.3">
      <c r="C233" s="19" t="s">
        <v>108</v>
      </c>
      <c r="D233" s="19"/>
      <c r="E233" s="19"/>
    </row>
    <row r="235" spans="3:5" x14ac:dyDescent="0.3">
      <c r="C235" s="1" t="s">
        <v>16</v>
      </c>
      <c r="D235" s="1" t="s">
        <v>28</v>
      </c>
    </row>
    <row r="236" spans="3:5" ht="22.8" customHeight="1" x14ac:dyDescent="0.3">
      <c r="C236" s="1" t="s">
        <v>34</v>
      </c>
      <c r="D236" s="2">
        <v>1.6731</v>
      </c>
    </row>
    <row r="237" spans="3:5" x14ac:dyDescent="0.3">
      <c r="C237" s="1"/>
      <c r="D237" s="1"/>
    </row>
    <row r="251" spans="3:5" x14ac:dyDescent="0.3">
      <c r="C251" s="19" t="s">
        <v>107</v>
      </c>
      <c r="D251" s="19"/>
      <c r="E251" s="19"/>
    </row>
    <row r="253" spans="3:5" x14ac:dyDescent="0.3">
      <c r="C253" s="1" t="s">
        <v>29</v>
      </c>
      <c r="D253" s="1" t="s">
        <v>30</v>
      </c>
    </row>
    <row r="254" spans="3:5" x14ac:dyDescent="0.3">
      <c r="C254" s="1" t="s">
        <v>31</v>
      </c>
      <c r="D254" s="2">
        <v>1.6716</v>
      </c>
    </row>
    <row r="255" spans="3:5" x14ac:dyDescent="0.3">
      <c r="C255" s="1" t="s">
        <v>32</v>
      </c>
      <c r="D255" s="2">
        <v>6</v>
      </c>
    </row>
    <row r="270" spans="3:5" x14ac:dyDescent="0.3">
      <c r="C270" s="19" t="s">
        <v>109</v>
      </c>
      <c r="D270" s="19"/>
      <c r="E270" s="19"/>
    </row>
    <row r="272" spans="3:5" x14ac:dyDescent="0.3">
      <c r="C272" s="4" t="s">
        <v>96</v>
      </c>
      <c r="D272" s="1" t="s">
        <v>30</v>
      </c>
    </row>
    <row r="273" spans="3:5" x14ac:dyDescent="0.3">
      <c r="C273" s="1" t="s">
        <v>95</v>
      </c>
      <c r="D273" s="2">
        <v>1.7364999999999999</v>
      </c>
    </row>
    <row r="274" spans="3:5" x14ac:dyDescent="0.3">
      <c r="C274" s="1" t="s">
        <v>21</v>
      </c>
      <c r="D274" s="2">
        <v>1.4532</v>
      </c>
    </row>
    <row r="275" spans="3:5" x14ac:dyDescent="0.3">
      <c r="C275" s="1"/>
      <c r="D275" s="1"/>
    </row>
    <row r="276" spans="3:5" x14ac:dyDescent="0.3">
      <c r="C276" s="1"/>
      <c r="D276" s="1"/>
    </row>
    <row r="277" spans="3:5" x14ac:dyDescent="0.3">
      <c r="C277" s="1"/>
      <c r="D277" s="1"/>
    </row>
    <row r="285" spans="3:5" x14ac:dyDescent="0.3">
      <c r="C285" s="19" t="s">
        <v>110</v>
      </c>
      <c r="D285" s="19"/>
      <c r="E285" s="19"/>
    </row>
    <row r="287" spans="3:5" x14ac:dyDescent="0.3">
      <c r="C287" s="4" t="s">
        <v>96</v>
      </c>
      <c r="D287" s="1" t="s">
        <v>30</v>
      </c>
    </row>
    <row r="288" spans="3:5" x14ac:dyDescent="0.3">
      <c r="C288" s="1" t="s">
        <v>18</v>
      </c>
      <c r="D288" s="2">
        <v>1.7621</v>
      </c>
    </row>
    <row r="289" spans="3:5" x14ac:dyDescent="0.3">
      <c r="C289" s="1" t="s">
        <v>19</v>
      </c>
      <c r="D289" s="2">
        <v>1.5134000000000001</v>
      </c>
    </row>
    <row r="302" spans="3:5" x14ac:dyDescent="0.3">
      <c r="C302" s="19" t="s">
        <v>111</v>
      </c>
      <c r="D302" s="19"/>
      <c r="E302" s="19"/>
    </row>
    <row r="304" spans="3:5" x14ac:dyDescent="0.3">
      <c r="C304" s="4" t="s">
        <v>23</v>
      </c>
      <c r="D304" s="1" t="s">
        <v>30</v>
      </c>
    </row>
    <row r="305" spans="3:4" x14ac:dyDescent="0.3">
      <c r="C305" s="5" t="s">
        <v>25</v>
      </c>
      <c r="D305" s="2">
        <v>1.8509</v>
      </c>
    </row>
    <row r="306" spans="3:4" x14ac:dyDescent="0.3">
      <c r="C306" s="5" t="s">
        <v>101</v>
      </c>
      <c r="D306" s="2">
        <v>1.7527999999999999</v>
      </c>
    </row>
    <row r="307" spans="3:4" x14ac:dyDescent="0.3">
      <c r="C307" s="6" t="s">
        <v>24</v>
      </c>
      <c r="D307" s="2">
        <v>1.3146</v>
      </c>
    </row>
  </sheetData>
  <mergeCells count="14">
    <mergeCell ref="C285:E285"/>
    <mergeCell ref="C302:E302"/>
    <mergeCell ref="C3:F3"/>
    <mergeCell ref="C22:F22"/>
    <mergeCell ref="C99:F99"/>
    <mergeCell ref="C138:E138"/>
    <mergeCell ref="C155:F155"/>
    <mergeCell ref="C40:D40"/>
    <mergeCell ref="C251:E251"/>
    <mergeCell ref="C270:E270"/>
    <mergeCell ref="C122:F122"/>
    <mergeCell ref="C192:F192"/>
    <mergeCell ref="C212:F212"/>
    <mergeCell ref="C233:E233"/>
  </mergeCells>
  <pageMargins left="0.7" right="0.7" top="0.75" bottom="0.75" header="0.3" footer="0.3"/>
  <drawing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RAZA</dc:creator>
  <cp:lastModifiedBy>ALI RAZA</cp:lastModifiedBy>
  <dcterms:created xsi:type="dcterms:W3CDTF">2025-09-14T05:57:15Z</dcterms:created>
  <dcterms:modified xsi:type="dcterms:W3CDTF">2025-09-28T06:22:59Z</dcterms:modified>
</cp:coreProperties>
</file>